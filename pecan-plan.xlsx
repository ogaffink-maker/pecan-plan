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'График'!$A$4:$M$85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команда PECÀN · состояние на 5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Детали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Команда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Команда PECÀN</t>
        </is>
      </c>
      <c r="E6" s="3"/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Команда PECÀN</t>
        </is>
      </c>
      <c r="E7" s="3"/>
      <c r="F7" s="4">
        <v>46293</v>
      </c>
      <c r="G7" s="4">
        <v>46300</v>
      </c>
      <c r="H7" s="5">
        <f>G7-F7+1</f>
      </c>
      <c r="I7" s="6">
        <v>1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Перечень работ, сроки, контрольные точки и зоны ответственности. Дальше отчитываемся по нему.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Команда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Два учредителя. Упрощённая декларация выбирается сразу при регистрации. Юрлицо нужно для договоров с ЖКХ и поставщиками. После регистрации прислать реквизиты.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Команда PECÀN</t>
        </is>
      </c>
      <c r="E9" s="3"/>
      <c r="F9" s="4">
        <v>46293</v>
      </c>
      <c r="G9" s="4">
        <v>46304</v>
      </c>
      <c r="H9" s="5">
        <f>G9-F9+1</f>
      </c>
      <c r="I9" s="6">
        <v>0.5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Меню, средние чеки, загрузка заведений, пешеходные связи ЖК, парковки.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пешеходного и автомобильного трафика</t>
        </is>
      </c>
      <c r="D10" s="3" t="inlineStr">
        <is>
          <t xml:space="preserve">Команда PECÀN</t>
        </is>
      </c>
      <c r="E10" s="3"/>
      <c r="F10" s="4">
        <v>46293</v>
      </c>
      <c r="G10" s="4">
        <v>46306</v>
      </c>
      <c r="H10" s="5">
        <f>G10-F10+1</f>
      </c>
      <c r="I10" s="6">
        <v>0.5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Хронометраж по пр. Тұран: утро 07:30–09:30, обед 12:30–14:30, вечер 17:30–20:00, выходные. Расчёт конверсии в чеки.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Команда PECÀN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Точка безубыточности и срок окупаемости. Результат: модель в Excel и инвестиционный бюджет.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Команда PECÀN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Команда PECÀN</t>
        </is>
      </c>
      <c r="E13" s="3"/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Команда PECÀN</t>
        </is>
      </c>
      <c r="E14" s="3"/>
      <c r="F14" s="4">
        <v>46293</v>
      </c>
      <c r="G14" s="4">
        <v>46304</v>
      </c>
      <c r="H14" s="5">
        <f>G14-F14+1</f>
      </c>
      <c r="I14" s="6">
        <v>0.5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Зал на 20–25 мест, бар и витрина, пекарня, заготовочная, мойка, склад, санузлы. Оценка антресоли при высоте 4,52 м.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Команда PECÀN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Команда PECÀN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Инженерные ТЗ: электрика 380 В, вода, канализация, вентиляция</t>
        </is>
      </c>
      <c r="D17" s="3" t="inlineStr">
        <is>
          <t xml:space="preserve">Команда PECÀN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инженерные ТЗ сданы</t>
        </is>
      </c>
      <c r="D18" s="3" t="inlineStr">
        <is>
          <t xml:space="preserve">Команда PECÀN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Команда PECÀN</t>
        </is>
      </c>
      <c r="E19" s="3"/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с нуля. Отбор студий с опытом в кофейнях и пекарнях, сравнение сроков и стоимости, выбор. Авторский надзор включаем в договор сразу.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Команда PECÀN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Референсы команды PECÀN, стилистика по брендбуку, технологическое зонирование от команды PECÀN.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Команда PECÀN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чертежи, ведомости отделки, мебели и освещения, проектная смета. Срок сжатый: пять недель от договора до полного комплекта.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Регулярные выезды на объект с выхода строителей до расстановки мебели. Проверка соответствия проекту, согласование замен материалов, ответы на вопросы бригады. Входит в договор с дизайн-студией.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Команда PECÀN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/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Команда PECÀN</t>
        </is>
      </c>
      <c r="E29" s="3"/>
      <c r="F29" s="4">
        <v>46300</v>
      </c>
      <c r="G29" s="4">
        <v>46316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 нуля. Отбор бригад с опытом в общепите: электрика 380 В, вентиляция, мокрые зоны. Выезд на их сданные объекты.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Команда PECÀN</t>
        </is>
      </c>
      <c r="E30" s="3"/>
      <c r="F30" s="4">
        <v>46317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Сметы считаются по технологическому зонированию и инженерным ТЗ, уточняются после рабочей документации дизайна.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Команда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В договоре: сроки по этому графику, поэтапная оплата, закупка материалов по проектной смете.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Черновые работы и перегородки</t>
        </is>
      </c>
      <c r="D33" s="3" t="inlineStr">
        <is>
          <t xml:space="preserve">Строители</t>
        </is>
      </c>
      <c r="E33" s="3"/>
      <c r="F33" s="4">
        <v>46328</v>
      </c>
      <c r="G33" s="4">
        <v>46346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Электрика, вода, канализация, трапы, жироуловитель</t>
        </is>
      </c>
      <c r="D34" s="3" t="inlineStr">
        <is>
          <t xml:space="preserve">Строители</t>
        </is>
      </c>
      <c r="E34" s="3"/>
      <c r="F34" s="4">
        <v>46335</v>
      </c>
      <c r="G34" s="4">
        <v>46360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Технологический надзор за выводами коммуникаций</t>
        </is>
      </c>
      <c r="D35" s="3" t="inlineStr">
        <is>
          <t xml:space="preserve">Команда PECÀN</t>
        </is>
      </c>
      <c r="E35" s="3"/>
      <c r="F35" s="4">
        <v>46335</v>
      </c>
      <c r="G35" s="4">
        <v>46367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Акты осмотра до закрытия стен и начала чистовой отделки.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Вентиляция и кондиционирование</t>
        </is>
      </c>
      <c r="D36" s="3" t="inlineStr">
        <is>
          <t xml:space="preserve">Строители</t>
        </is>
      </c>
      <c r="E36" s="3"/>
      <c r="F36" s="4">
        <v>46342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Чистовая отделка</t>
        </is>
      </c>
      <c r="D37" s="3" t="inlineStr">
        <is>
          <t xml:space="preserve">Строители</t>
        </is>
      </c>
      <c r="E37" s="3"/>
      <c r="F37" s="4">
        <v>46363</v>
      </c>
      <c r="G37" s="4">
        <v>46402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Свет, сантехника, столярные изделия</t>
        </is>
      </c>
      <c r="D38" s="3" t="inlineStr">
        <is>
          <t xml:space="preserve">Строители</t>
        </is>
      </c>
      <c r="E38" s="3"/>
      <c r="F38" s="4">
        <v>46391</v>
      </c>
      <c r="G38" s="4">
        <v>46409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17" t="inlineStr">
        <is>
          <t xml:space="preserve">Приёмка строительной готовности</t>
        </is>
      </c>
      <c r="D39" s="3" t="inlineStr">
        <is>
          <t xml:space="preserve">Команда PECÀN</t>
        </is>
      </c>
      <c r="E39" s="3" t="inlineStr">
        <is>
          <t xml:space="preserve">Строители</t>
        </is>
      </c>
      <c r="F39" s="4">
        <v>46412</v>
      </c>
      <c r="G39" s="4">
        <v>46412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 t="inlineStr">
        <is>
          <t xml:space="preserve">да</t>
        </is>
      </c>
      <c r="L39" s="5"/>
      <c r="M39" s="10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3" t="inlineStr">
        <is>
          <t xml:space="preserve">Генеральная уборка после ремонта</t>
        </is>
      </c>
      <c r="D40" s="3" t="inlineStr">
        <is>
          <t xml:space="preserve">Строители</t>
        </is>
      </c>
      <c r="E40" s="3"/>
      <c r="F40" s="4">
        <v>46412</v>
      </c>
      <c r="G40" s="4">
        <v>46414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/>
      <c r="L40" s="5"/>
      <c r="M40" s="10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Комплектация и Китай</t>
        </is>
      </c>
      <c r="C41" s="3" t="inlineStr">
        <is>
          <t xml:space="preserve">Спецификации технологического оборудования и инвентаря</t>
        </is>
      </c>
      <c r="D41" s="3" t="inlineStr">
        <is>
          <t xml:space="preserve">Команда PECÀN</t>
        </is>
      </c>
      <c r="E41" s="3"/>
      <c r="F41" s="4">
        <v>46321</v>
      </c>
      <c r="G41" s="4">
        <v>46339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 t="inlineStr">
        <is>
          <t xml:space="preserve">да</t>
        </is>
      </c>
      <c r="M41" s="10" t="inlineStr">
        <is>
          <t xml:space="preserve">Собираются по проекту ТХ: печи, расстойка, холод, бар, нейтральное оборудование.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Подготовка поездки: маршрут фабрик, визы, билеты</t>
        </is>
      </c>
      <c r="D42" s="3" t="inlineStr">
        <is>
          <t xml:space="preserve">Команда PECÀN</t>
        </is>
      </c>
      <c r="E42" s="3"/>
      <c r="F42" s="4">
        <v>46328</v>
      </c>
      <c r="G42" s="4">
        <v>46346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/>
      <c r="M42" s="10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Спецификации мебели, света и посуды по дизайн-проекту</t>
        </is>
      </c>
      <c r="D43" s="3" t="inlineStr">
        <is>
          <t xml:space="preserve">Команда PECÀN</t>
        </is>
      </c>
      <c r="E43" s="3" t="inlineStr">
        <is>
          <t xml:space="preserve">Дизайн-студия</t>
        </is>
      </c>
      <c r="F43" s="4">
        <v>46335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 t="inlineStr">
        <is>
          <t xml:space="preserve">да</t>
        </is>
      </c>
      <c r="M43" s="10" t="inlineStr">
        <is>
          <t xml:space="preserve">Собираются по ведомостям мебели и освещения из рабочей документации дизайна.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17" t="inlineStr">
        <is>
          <t xml:space="preserve">Спецификации и бюджет закупок утверждены</t>
        </is>
      </c>
      <c r="D44" s="3" t="inlineStr">
        <is>
          <t xml:space="preserve">Команда PECÀN</t>
        </is>
      </c>
      <c r="E44" s="3"/>
      <c r="F44" s="4">
        <v>46346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 t="inlineStr">
        <is>
          <t xml:space="preserve">да</t>
        </is>
      </c>
      <c r="L44" s="5" t="inlineStr">
        <is>
          <t xml:space="preserve">да</t>
        </is>
      </c>
      <c r="M44" s="10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3" t="inlineStr">
        <is>
          <t xml:space="preserve">Выездная сессия в Китае: Гуанчжоу, Фошань</t>
        </is>
      </c>
      <c r="D45" s="3" t="inlineStr">
        <is>
          <t xml:space="preserve">Команда PECÀN</t>
        </is>
      </c>
      <c r="E45" s="3"/>
      <c r="F45" s="4">
        <v>46349</v>
      </c>
      <c r="G45" s="4">
        <v>46355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/>
      <c r="L45" s="5" t="inlineStr">
        <is>
          <t xml:space="preserve">да</t>
        </is>
      </c>
      <c r="M45" s="10" t="inlineStr">
        <is>
          <t xml:space="preserve">Отбор посуды, мебели, света, декора и оборудования на фабриках, согласование цен.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Размещение заказов и предоплата фабрикам</t>
        </is>
      </c>
      <c r="D46" s="3" t="inlineStr">
        <is>
          <t xml:space="preserve">Команда PECÀN</t>
        </is>
      </c>
      <c r="E46" s="3"/>
      <c r="F46" s="4">
        <v>46356</v>
      </c>
      <c r="G46" s="4">
        <v>46360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Заказ печей, расстойки, кофемашины</t>
        </is>
      </c>
      <c r="D47" s="3" t="inlineStr">
        <is>
          <t xml:space="preserve">Команда PECÀN</t>
        </is>
      </c>
      <c r="E47" s="3"/>
      <c r="F47" s="4">
        <v>46356</v>
      </c>
      <c r="G47" s="4">
        <v>46367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/>
      <c r="M47" s="10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Производство на фабриках</t>
        </is>
      </c>
      <c r="D48" s="3" t="inlineStr">
        <is>
          <t xml:space="preserve">Поставщики и логистика</t>
        </is>
      </c>
      <c r="E48" s="3"/>
      <c r="F48" s="4">
        <v>46363</v>
      </c>
      <c r="G48" s="4">
        <v>46395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 t="inlineStr">
        <is>
          <t xml:space="preserve">да</t>
        </is>
      </c>
      <c r="M48" s="10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Контроль качества и отгрузка из Китая</t>
        </is>
      </c>
      <c r="D49" s="3" t="inlineStr">
        <is>
          <t xml:space="preserve">Поставщики и логистика</t>
        </is>
      </c>
      <c r="E49" s="3"/>
      <c r="F49" s="4">
        <v>46391</v>
      </c>
      <c r="G49" s="4">
        <v>46400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Отгрузка с запасом до закрытия фабрик на Китайский Новый год.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Доставка и таможенное оформление</t>
        </is>
      </c>
      <c r="D50" s="3" t="inlineStr">
        <is>
          <t xml:space="preserve">Поставщики и логистика</t>
        </is>
      </c>
      <c r="E50" s="3"/>
      <c r="F50" s="4">
        <v>46400</v>
      </c>
      <c r="G50" s="4">
        <v>46416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17" t="inlineStr">
        <is>
          <t xml:space="preserve">Оборудование и мебель на объекте</t>
        </is>
      </c>
      <c r="D51" s="3" t="inlineStr">
        <is>
          <t xml:space="preserve">Поставщики и логистика</t>
        </is>
      </c>
      <c r="E51" s="3"/>
      <c r="F51" s="4">
        <v>46416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 t="inlineStr">
        <is>
          <t xml:space="preserve">да</t>
        </is>
      </c>
      <c r="L51" s="5" t="inlineStr">
        <is>
          <t xml:space="preserve">да</t>
        </is>
      </c>
      <c r="M51" s="10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3" t="inlineStr">
        <is>
          <t xml:space="preserve">Монтаж оборудования, пусконаладка</t>
        </is>
      </c>
      <c r="D52" s="3" t="inlineStr">
        <is>
          <t xml:space="preserve">Поставщики и логистика</t>
        </is>
      </c>
      <c r="E52" s="3" t="inlineStr">
        <is>
          <t xml:space="preserve">Команда PECÀN: шеф-контроль</t>
        </is>
      </c>
      <c r="F52" s="4">
        <v>46419</v>
      </c>
      <c r="G52" s="4">
        <v>46425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/>
      <c r="L52" s="5" t="inlineStr">
        <is>
          <t xml:space="preserve">да</t>
        </is>
      </c>
      <c r="M52" s="10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Расстановка мебели, свет, декор</t>
        </is>
      </c>
      <c r="D53" s="3" t="inlineStr">
        <is>
          <t xml:space="preserve">Дизайн-студия</t>
        </is>
      </c>
      <c r="E53" s="3"/>
      <c r="F53" s="4">
        <v>46421</v>
      </c>
      <c r="G53" s="4">
        <v>46427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/>
      <c r="M53" s="10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Команда</t>
        </is>
      </c>
      <c r="C54" s="3" t="inlineStr">
        <is>
          <t xml:space="preserve">Штатное расписание, фонд оплаты труда, KPI</t>
        </is>
      </c>
      <c r="D54" s="3" t="inlineStr">
        <is>
          <t xml:space="preserve">Команда PECÀN</t>
        </is>
      </c>
      <c r="E54" s="3"/>
      <c r="F54" s="4">
        <v>46328</v>
      </c>
      <c r="G54" s="4">
        <v>46339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Подбор шеф-пекаря и шеф-бариста</t>
        </is>
      </c>
      <c r="D55" s="3" t="inlineStr">
        <is>
          <t xml:space="preserve">Команда PECÀN</t>
        </is>
      </c>
      <c r="E55" s="3"/>
      <c r="F55" s="4">
        <v>46342</v>
      </c>
      <c r="G55" s="4">
        <v>46367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Поиск управляющего</t>
        </is>
      </c>
      <c r="D56" s="3" t="inlineStr">
        <is>
          <t xml:space="preserve">Команда PECÀN</t>
        </is>
      </c>
      <c r="E56" s="3"/>
      <c r="F56" s="4">
        <v>46342</v>
      </c>
      <c r="G56" s="4">
        <v>46374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Подбор линейного персонала</t>
        </is>
      </c>
      <c r="D57" s="3" t="inlineStr">
        <is>
          <t xml:space="preserve">Команда PECÀN</t>
        </is>
      </c>
      <c r="E57" s="3"/>
      <c r="F57" s="4">
        <v>46391</v>
      </c>
      <c r="G57" s="4">
        <v>46416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Бариста, пекари, повара, кассиры, зал, клининг.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Оформление сотрудников и медицинские книжки</t>
        </is>
      </c>
      <c r="D58" s="3" t="inlineStr">
        <is>
          <t xml:space="preserve">Команда PECÀN</t>
        </is>
      </c>
      <c r="E58" s="3"/>
      <c r="F58" s="4">
        <v>46412</v>
      </c>
      <c r="G58" s="4">
        <v>46423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17" t="inlineStr">
        <is>
          <t xml:space="preserve">Штат укомплектован: 10–14 человек</t>
        </is>
      </c>
      <c r="D59" s="3" t="inlineStr">
        <is>
          <t xml:space="preserve">Команда PECÀN</t>
        </is>
      </c>
      <c r="E59" s="3"/>
      <c r="F59" s="4">
        <v>46416</v>
      </c>
      <c r="G59" s="4">
        <v>46416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 t="inlineStr">
        <is>
          <t xml:space="preserve">да</t>
        </is>
      </c>
      <c r="L59" s="5"/>
      <c r="M59" s="10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Меню и продукт</t>
        </is>
      </c>
      <c r="C60" s="3" t="inlineStr">
        <is>
          <t xml:space="preserve">Концепция меню</t>
        </is>
      </c>
      <c r="D60" s="3" t="inlineStr">
        <is>
          <t xml:space="preserve">Команда PECÀN</t>
        </is>
      </c>
      <c r="E60" s="3" t="inlineStr">
        <is>
          <t xml:space="preserve">Шефы</t>
        </is>
      </c>
      <c r="F60" s="4">
        <v>46335</v>
      </c>
      <c r="G60" s="4">
        <v>46353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/>
      <c r="L60" s="5"/>
      <c r="M60" s="10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Рецептуры и технологические карты</t>
        </is>
      </c>
      <c r="D61" s="3" t="inlineStr">
        <is>
          <t xml:space="preserve">Шефы и персонал</t>
        </is>
      </c>
      <c r="E61" s="3"/>
      <c r="F61" s="4">
        <v>46363</v>
      </c>
      <c r="G61" s="4">
        <v>46409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Упаковка, печать меню, форма персонала</t>
        </is>
      </c>
      <c r="D62" s="3" t="inlineStr">
        <is>
          <t xml:space="preserve">Команда PECÀN</t>
        </is>
      </c>
      <c r="E62" s="3"/>
      <c r="F62" s="4">
        <v>46391</v>
      </c>
      <c r="G62" s="4">
        <v>46423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По брендбуку. Дизайн стаканов и крафтовых пакетов обновляется.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Поставщики сырья: отбор и договоры</t>
        </is>
      </c>
      <c r="D63" s="3" t="inlineStr">
        <is>
          <t xml:space="preserve">Команда PECÀN</t>
        </is>
      </c>
      <c r="E63" s="3"/>
      <c r="F63" s="4">
        <v>46398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Проработки и дегустации на объекте</t>
        </is>
      </c>
      <c r="D64" s="3" t="inlineStr">
        <is>
          <t xml:space="preserve">Шефы и персонал</t>
        </is>
      </c>
      <c r="E64" s="3"/>
      <c r="F64" s="4">
        <v>46426</v>
      </c>
      <c r="G64" s="4">
        <v>46431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Автоматизация и IT</t>
        </is>
      </c>
      <c r="C65" s="3" t="inlineStr">
        <is>
          <t xml:space="preserve">Закупка касс, принтеров, лицензий iiko</t>
        </is>
      </c>
      <c r="D65" s="3" t="inlineStr">
        <is>
          <t xml:space="preserve">Команда PECÀN</t>
        </is>
      </c>
      <c r="E65" s="3"/>
      <c r="F65" s="4">
        <v>46398</v>
      </c>
      <c r="G65" s="4">
        <v>46409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Настройка iiko: номенклатура, склады, техкарты</t>
        </is>
      </c>
      <c r="D66" s="3" t="inlineStr">
        <is>
          <t xml:space="preserve">Команда PECÀN</t>
        </is>
      </c>
      <c r="E66" s="3"/>
      <c r="F66" s="4">
        <v>46412</v>
      </c>
      <c r="G66" s="4">
        <v>46430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Бонусная программа лояльности</t>
        </is>
      </c>
      <c r="D67" s="3" t="inlineStr">
        <is>
          <t xml:space="preserve">Команда PECÀN</t>
        </is>
      </c>
      <c r="E67" s="3"/>
      <c r="F67" s="4">
        <v>46419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Kaspi Pay, Webkassa, кассовая зона</t>
        </is>
      </c>
      <c r="D68" s="3" t="inlineStr">
        <is>
          <t xml:space="preserve">Команда PECÀN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Дашборд для владельцев</t>
        </is>
      </c>
      <c r="D69" s="3" t="inlineStr">
        <is>
          <t xml:space="preserve">Команда PECÀN</t>
        </is>
      </c>
      <c r="E69" s="3"/>
      <c r="F69" s="4">
        <v>46426</v>
      </c>
      <c r="G69" s="4">
        <v>46437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Заявки в Wolt, Yandex Eats, Glovo, Choco</t>
        </is>
      </c>
      <c r="D70" s="3" t="inlineStr">
        <is>
          <t xml:space="preserve">Команда PECÀN</t>
        </is>
      </c>
      <c r="E70" s="3"/>
      <c r="F70" s="4">
        <v>46426</v>
      </c>
      <c r="G70" s="4">
        <v>46444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Решение о подключении принимают агрегаторы.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Стандарты и обучение</t>
        </is>
      </c>
      <c r="C71" s="3" t="inlineStr">
        <is>
          <t xml:space="preserve">Service Book, должностные инструкции, чек-листы, ХАССП</t>
        </is>
      </c>
      <c r="D71" s="3" t="inlineStr">
        <is>
          <t xml:space="preserve">Команда PECÀN</t>
        </is>
      </c>
      <c r="E71" s="3"/>
      <c r="F71" s="4">
        <v>46342</v>
      </c>
      <c r="G71" s="4">
        <v>46374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Обучение управляющего</t>
        </is>
      </c>
      <c r="D72" s="3" t="inlineStr">
        <is>
          <t xml:space="preserve">Команда PECÀN</t>
        </is>
      </c>
      <c r="E72" s="3"/>
      <c r="F72" s="4">
        <v>46412</v>
      </c>
      <c r="G72" s="4">
        <v>46423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Договоры ЖКХ, вывоз отходов, уведомление о начале деятельности</t>
        </is>
      </c>
      <c r="D73" s="3" t="inlineStr">
        <is>
          <t xml:space="preserve">Команда PECÀN</t>
        </is>
      </c>
      <c r="E73" s="3"/>
      <c r="F73" s="4">
        <v>46412</v>
      </c>
      <c r="G73" s="4">
        <v>46430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Академия PECÀN: бариста, пекарня, кухня, сервис</t>
        </is>
      </c>
      <c r="D74" s="3" t="inlineStr">
        <is>
          <t xml:space="preserve">Команда PECÀN</t>
        </is>
      </c>
      <c r="E74" s="3" t="inlineStr">
        <is>
          <t xml:space="preserve">Персонал кофейни</t>
        </is>
      </c>
      <c r="F74" s="4">
        <v>46426</v>
      </c>
      <c r="G74" s="4">
        <v>46431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 t="inlineStr">
        <is>
          <t xml:space="preserve">да</t>
        </is>
      </c>
      <c r="M74" s="10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17" t="inlineStr">
        <is>
          <t xml:space="preserve">Аттестация команды</t>
        </is>
      </c>
      <c r="D75" s="3" t="inlineStr">
        <is>
          <t xml:space="preserve">Команда PECÀN</t>
        </is>
      </c>
      <c r="E75" s="3"/>
      <c r="F75" s="4">
        <v>46431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 t="inlineStr">
        <is>
          <t xml:space="preserve">да</t>
        </is>
      </c>
      <c r="L75" s="5" t="inlineStr">
        <is>
          <t xml:space="preserve">да</t>
        </is>
      </c>
      <c r="M75" s="10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Маркетинг запуска</t>
        </is>
      </c>
      <c r="C76" s="3" t="inlineStr">
        <is>
          <t xml:space="preserve">Медиаплан запуска</t>
        </is>
      </c>
      <c r="D76" s="3" t="inlineStr">
        <is>
          <t xml:space="preserve">Команда PECÀN</t>
        </is>
      </c>
      <c r="E76" s="3"/>
      <c r="F76" s="4">
        <v>46321</v>
      </c>
      <c r="G76" s="4">
        <v>46339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/>
      <c r="L76" s="5"/>
      <c r="M76" s="10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Instagram: прогрев до открытия</t>
        </is>
      </c>
      <c r="D77" s="3" t="inlineStr">
        <is>
          <t xml:space="preserve">Команда PECÀN</t>
        </is>
      </c>
      <c r="E77" s="3"/>
      <c r="F77" s="4">
        <v>46391</v>
      </c>
      <c r="G77" s="4">
        <v>46459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Карточки в 2ГИС, Яндекс и Google</t>
        </is>
      </c>
      <c r="D78" s="3" t="inlineStr">
        <is>
          <t xml:space="preserve">Команда PECÀN</t>
        </is>
      </c>
      <c r="E78" s="3"/>
      <c r="F78" s="4">
        <v>46419</v>
      </c>
      <c r="G78" s="4">
        <v>46430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Подготовка торжественного открытия</t>
        </is>
      </c>
      <c r="D79" s="3" t="inlineStr">
        <is>
          <t xml:space="preserve">Команда PECÀN</t>
        </is>
      </c>
      <c r="E79" s="3"/>
      <c r="F79" s="4">
        <v>46433</v>
      </c>
      <c r="G79" s="4">
        <v>46458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Запуск</t>
        </is>
      </c>
      <c r="C80" s="3" t="inlineStr">
        <is>
          <t xml:space="preserve">Первый закуп продуктов и расходников</t>
        </is>
      </c>
      <c r="D80" s="3" t="inlineStr">
        <is>
          <t xml:space="preserve">Команда PECÀN</t>
        </is>
      </c>
      <c r="E80" s="3"/>
      <c r="F80" s="4">
        <v>46428</v>
      </c>
      <c r="G80" s="4">
        <v>46432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17" t="inlineStr">
        <is>
          <t xml:space="preserve">Техническое открытие</t>
        </is>
      </c>
      <c r="D81" s="3" t="inlineStr">
        <is>
          <t xml:space="preserve">Команда PECÀN</t>
        </is>
      </c>
      <c r="E81" s="3" t="inlineStr">
        <is>
          <t xml:space="preserve">Все участники</t>
        </is>
      </c>
      <c r="F81" s="4">
        <v>46433</v>
      </c>
      <c r="G81" s="4">
        <v>46433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 t="inlineStr">
        <is>
          <t xml:space="preserve">да</t>
        </is>
      </c>
      <c r="L81" s="5" t="inlineStr">
        <is>
          <t xml:space="preserve">да</t>
        </is>
      </c>
      <c r="M81" s="10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3" t="inlineStr">
        <is>
          <t xml:space="preserve">Тестовая эксплуатация, 10 дней</t>
        </is>
      </c>
      <c r="D82" s="3" t="inlineStr">
        <is>
          <t xml:space="preserve">Команда PECÀN</t>
        </is>
      </c>
      <c r="E82" s="3" t="inlineStr">
        <is>
          <t xml:space="preserve">Персонал кофейни</t>
        </is>
      </c>
      <c r="F82" s="4">
        <v>46433</v>
      </c>
      <c r="G82" s="4">
        <v>46442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/>
      <c r="L82" s="5" t="inlineStr">
        <is>
          <t xml:space="preserve">да</t>
        </is>
      </c>
      <c r="M82" s="10" t="inlineStr">
        <is>
          <t xml:space="preserve">Закрытая фокус-группа, калибровка скорости отдачи на пиковой нагрузке.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Работа в мягком режиме, доводка процессов</t>
        </is>
      </c>
      <c r="D83" s="3" t="inlineStr">
        <is>
          <t xml:space="preserve">Шефы и персонал</t>
        </is>
      </c>
      <c r="E83" s="3"/>
      <c r="F83" s="4">
        <v>46443</v>
      </c>
      <c r="G83" s="4">
        <v>46458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/>
      <c r="M83" s="10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17" t="inlineStr">
        <is>
          <t xml:space="preserve">Торжественное открытие</t>
        </is>
      </c>
      <c r="D84" s="3" t="inlineStr">
        <is>
          <t xml:space="preserve">Команда PECÀN</t>
        </is>
      </c>
      <c r="E84" s="3" t="inlineStr">
        <is>
          <t xml:space="preserve">Все участники</t>
        </is>
      </c>
      <c r="F84" s="4">
        <v>46459</v>
      </c>
      <c r="G84" s="4">
        <v>46459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 t="inlineStr">
        <is>
          <t xml:space="preserve">да</t>
        </is>
      </c>
      <c r="L84" s="5" t="inlineStr">
        <is>
          <t xml:space="preserve">да</t>
        </is>
      </c>
      <c r="M84" s="10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3" t="inlineStr">
        <is>
          <t xml:space="preserve">Итоговый аудит и акт, передача кофейни владельцам</t>
        </is>
      </c>
      <c r="D85" s="3" t="inlineStr">
        <is>
          <t xml:space="preserve">Команда PECÀN</t>
        </is>
      </c>
      <c r="E85" s="3"/>
      <c r="F85" s="4">
        <v>46461</v>
      </c>
      <c r="G85" s="4">
        <v>46465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/>
      <c r="L85" s="5"/>
      <c r="M85" s="10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</sheetData>
  <autoFilter ref="A4:M85"/>
  <conditionalFormatting sqref="N5:AN85">
    <cfRule type="expression" dxfId="0" priority="1">
      <formula>AND($D5="Команда PECÀN",$F5&lt;=N$4+6,$G5&gt;=N$4)</formula>
    </cfRule>
    <cfRule type="expression" dxfId="1" priority="2">
      <formula>AND($D5="",$F5&lt;=N$4+6,$G5&gt;=N$4)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персонал",$F5&lt;=N$4+6,$G5&gt;=N$4)</formula>
    </cfRule>
  </conditionalFormatting>
  <conditionalFormatting sqref="J5:J85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5">
      <formula1>"Команда PECÀN,Дизайн-студия,Строители,Поставщики и логистика,Шефы и персонал"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Команда PECÀN</t>
        </is>
      </c>
      <c r="D5" s="5"/>
      <c r="E5" s="5"/>
      <c r="F5" s="5">
        <f>A5-TODAY()</f>
      </c>
      <c r="G5" s="10"/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Команда PECÀN</t>
        </is>
      </c>
      <c r="D6" s="5"/>
      <c r="E6" s="5" t="inlineStr">
        <is>
          <t xml:space="preserve">да</t>
        </is>
      </c>
      <c r="F6" s="5">
        <f>A6-TODAY()</f>
      </c>
      <c r="G6" s="10"/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Команда PECÀN</t>
        </is>
      </c>
      <c r="D7" s="5"/>
      <c r="E7" s="5" t="inlineStr">
        <is>
          <t xml:space="preserve">да</t>
        </is>
      </c>
      <c r="F7" s="5">
        <f>A7-TODAY()</f>
      </c>
      <c r="G7" s="10"/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Команда PECÀN</t>
        </is>
      </c>
      <c r="D8" s="5"/>
      <c r="E8" s="5"/>
      <c r="F8" s="5">
        <f>A8-TODAY()</f>
      </c>
      <c r="G8" s="10"/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Команда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инженерные ТЗ сданы</t>
        </is>
      </c>
      <c r="C10" s="3" t="inlineStr">
        <is>
          <t xml:space="preserve">Команда PECÀN</t>
        </is>
      </c>
      <c r="D10" s="5"/>
      <c r="E10" s="5"/>
      <c r="F10" s="5">
        <f>A10-TODAY()</f>
      </c>
      <c r="G10" s="10"/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/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Команда PECÀN</t>
        </is>
      </c>
      <c r="D12" s="5"/>
      <c r="E12" s="5" t="inlineStr">
        <is>
          <t xml:space="preserve">да</t>
        </is>
      </c>
      <c r="F12" s="5">
        <f>A12-TODAY()</f>
      </c>
      <c r="G12" s="10"/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/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Команда PECÀN</t>
        </is>
      </c>
      <c r="D14" s="5"/>
      <c r="E14" s="5"/>
      <c r="F14" s="5">
        <f>A14-TODAY()</f>
      </c>
      <c r="G14" s="10"/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Команда PECÀN</t>
        </is>
      </c>
      <c r="D15" s="5"/>
      <c r="E15" s="5"/>
      <c r="F15" s="5">
        <f>A15-TODAY()</f>
      </c>
      <c r="G15" s="10"/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/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/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Команда PECÀN</t>
        </is>
      </c>
      <c r="D18" s="5"/>
      <c r="E18" s="5" t="inlineStr">
        <is>
          <t xml:space="preserve">да</t>
        </is>
      </c>
      <c r="F18" s="5">
        <f>A18-TODAY()</f>
      </c>
      <c r="G18" s="10"/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Команда PECÀN</t>
        </is>
      </c>
      <c r="D19" s="5"/>
      <c r="E19" s="5" t="inlineStr">
        <is>
          <t xml:space="preserve">да</t>
        </is>
      </c>
      <c r="F19" s="5">
        <f>A19-TODAY()</f>
      </c>
      <c r="G19" s="10"/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Команда PECÀN</t>
        </is>
      </c>
      <c r="D20" s="5"/>
      <c r="E20" s="5" t="inlineStr">
        <is>
          <t xml:space="preserve">да</t>
        </is>
      </c>
      <c r="F20" s="5">
        <f>A20-TODAY()</f>
      </c>
      <c r="G20" s="10"/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Материалы согласуются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34" customHeight="1">
      <c r="A5" s="11" t="inlineStr">
        <is>
          <t xml:space="preserve">Команда PECÀN</t>
        </is>
      </c>
      <c r="B5" s="3" t="inlineStr">
        <is>
          <t xml:space="preserve">Основатели и Gastro Ultima</t>
        </is>
      </c>
      <c r="C5" s="5">
        <f>COUNTIF('График'!D:D,A5)</f>
      </c>
      <c r="D5" s="3" t="inlineStr">
        <is>
          <t xml:space="preserve">• Ведёт проект целиком: график, решения, согласования, бюджет
• Аналитика локации, финансовая модель, маркетинговая стратегия
• Технологический проект, инженерные ТЗ, технологический надзор
• Выбор дизайн-студии и строительной бригады, договоры с подрядчиками
• Спецификации, выездная сессия в Китае, оплата оборудования и логистики
• Юрлицо, счёт, договоры с ЖКХ и поставщиками сырья
• Подбор команды, обучение, аттестация
• iiko, лояльность, стандарты, ХАССП, запуск и открытие</t>
        </is>
      </c>
    </row>
    <row r="6" ht="86" customHeight="1">
      <c r="A6" s="13" t="inlineStr">
        <is>
          <t xml:space="preserve">Дизайн-студия</t>
        </is>
      </c>
      <c r="B6" s="3" t="inlineStr">
        <is>
          <t xml:space="preserve">Новый подрядчик · выбираем до 16 октября</t>
        </is>
      </c>
      <c r="C6" s="5">
        <f>COUNTIF('График'!D:D,A6)</f>
      </c>
      <c r="D6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ведомости отделки, мебели и света, смета
• Авторский надзор за отделкой и декором
• Эскиз фасадной вывески</t>
        </is>
      </c>
    </row>
    <row r="7" ht="86" customHeight="1">
      <c r="A7" s="14" t="inlineStr">
        <is>
          <t xml:space="preserve">Строители</t>
        </is>
      </c>
      <c r="B7" s="3" t="inlineStr">
        <is>
          <t xml:space="preserve">Новая бригада · выбираем до 30 октября</t>
        </is>
      </c>
      <c r="C7" s="5">
        <f>COUNTIF('График'!D:D,A7)</f>
      </c>
      <c r="D7" s="3" t="inlineStr">
        <is>
          <t xml:space="preserve">• Черновые работы и перегородки по проекту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8" ht="70" customHeight="1">
      <c r="A8" s="15" t="inlineStr">
        <is>
          <t xml:space="preserve">Поставщики и логистика</t>
        </is>
      </c>
      <c r="B8" s="3" t="inlineStr">
        <is>
          <t xml:space="preserve">Фабрики КНР, европейские линии, карго, таможня</t>
        </is>
      </c>
      <c r="C8" s="5">
        <f>COUNTIF('График'!D:D,A8)</f>
      </c>
      <c r="D8" s="3" t="inlineStr">
        <is>
          <t xml:space="preserve">• Производство мебели, света, посуды, нейтрального оборудования
• Поставка печей, расстойки, кофемашины
• Отгрузка до Китайского Нового года
• Доставка, таможенное оформление, разгрузка на объекте</t>
        </is>
      </c>
    </row>
    <row r="9" ht="70" customHeight="1">
      <c r="A9" s="16" t="inlineStr">
        <is>
          <t xml:space="preserve">Шефы и персонал</t>
        </is>
      </c>
      <c r="B9" s="3" t="inlineStr">
        <is>
          <t xml:space="preserve">Шеф-пекарь, шеф-бариста, управляющий, линейный персонал</t>
        </is>
      </c>
      <c r="C9" s="5">
        <f>COUNTIF('График'!D:D,A9)</f>
      </c>
      <c r="D9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