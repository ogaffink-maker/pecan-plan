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Gastro Ultima · состояние на 4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Детали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Основатели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Gastro Ultima</t>
        </is>
      </c>
      <c r="E6" s="3" t="inlineStr">
        <is>
          <t xml:space="preserve">Основатели PECÀN</t>
        </is>
      </c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Gastro Ultima</t>
        </is>
      </c>
      <c r="E7" s="3"/>
      <c r="F7" s="4">
        <v>46293</v>
      </c>
      <c r="G7" s="4">
        <v>46300</v>
      </c>
      <c r="H7" s="5">
        <f>G7-F7+1</f>
      </c>
      <c r="I7" s="6">
        <v>0.9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Перечень работ, сроки, контрольные точки и зоны ответственности. Дальше отчитываемся по нему.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Основатели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Два учредителя. Упрощённая декларация выбирается сразу при регистрации. Юрлицо нужно для договоров с ЖКХ и поставщиками. После регистрации прислать реквизиты.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Gastro Ultima</t>
        </is>
      </c>
      <c r="E9" s="3"/>
      <c r="F9" s="4">
        <v>46293</v>
      </c>
      <c r="G9" s="4">
        <v>46304</v>
      </c>
      <c r="H9" s="5">
        <f>G9-F9+1</f>
      </c>
      <c r="I9" s="6">
        <v>0.1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Меню, средние чеки, загрузка заведений, пешеходные связи ЖК, парковки.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пешеходного и автомобильного трафика</t>
        </is>
      </c>
      <c r="D10" s="3" t="inlineStr">
        <is>
          <t xml:space="preserve">Gastro Ultima</t>
        </is>
      </c>
      <c r="E10" s="3"/>
      <c r="F10" s="4">
        <v>46293</v>
      </c>
      <c r="G10" s="4">
        <v>46306</v>
      </c>
      <c r="H10" s="5">
        <f>G10-F10+1</f>
      </c>
      <c r="I10" s="6">
        <v>0.1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Хронометраж по пр. Тұран: утро 07:30–09:30, обед 12:30–14:30, вечер 17:30–20:00, выходные. Расчёт конверсии в чеки.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Gastro Ultima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Точка безубыточности и срок окупаемости. Результат: модель в Excel и инвестиционный бюджет.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Gastro Ultima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Gastro Ultima</t>
        </is>
      </c>
      <c r="E13" s="3" t="inlineStr">
        <is>
          <t xml:space="preserve">Основатели PECÀN</t>
        </is>
      </c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Gastro Ultima</t>
        </is>
      </c>
      <c r="E14" s="3"/>
      <c r="F14" s="4">
        <v>46293</v>
      </c>
      <c r="G14" s="4">
        <v>46304</v>
      </c>
      <c r="H14" s="5">
        <f>G14-F14+1</f>
      </c>
      <c r="I14" s="6">
        <v>0.2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Зал на 20–25 мест, бар и витрина, пекарня, заготовочная, мойка, склад, санузлы. Оценка антресоли при высоте 4,52 м.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Gastro Ultima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Основатели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Gastro Ultima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Gastro Ultima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Gastro Ultima</t>
        </is>
      </c>
      <c r="E19" s="3" t="inlineStr">
        <is>
          <t xml:space="preserve">Основатели PECÀN</t>
        </is>
      </c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с нуля. Отбор студий с опытом в кофейнях и пекарнях, сравнение сроков и стоимости, выбор вместе с основателями PECÀN. Авторский надзор включаем в договор сразу.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Основатели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Референсы от основателей PECÀN, стилистика по брендбуку, технологическое зонирование от Gastro Ultima.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Gastro Ultima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чертежи, ведомости отделки, мебели и освещения, проектная смета. Срок сжатый: пять недель от договора до полного комплекта.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Регулярные выезды на объект с выхода строителей до расстановки мебели. Проверка соответствия проекту, согласование замен материалов, ответы на вопросы бригады. Входит в договор с дизайн-студией.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Основатели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 t="inlineStr">
        <is>
          <t xml:space="preserve">Основатели PECÀN, Gastro Ultima</t>
        </is>
      </c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Gastro Ultima</t>
        </is>
      </c>
      <c r="E29" s="3" t="inlineStr">
        <is>
          <t xml:space="preserve">Основатели PECÀN</t>
        </is>
      </c>
      <c r="F29" s="4">
        <v>46300</v>
      </c>
      <c r="G29" s="4">
        <v>46311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 нуля. Отбор бригад с опытом в общепите: электрика 380 В, вентиляция, мокрые зоны. Выезд на их сданные объекты.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Gastro Ultima</t>
        </is>
      </c>
      <c r="E30" s="3" t="inlineStr">
        <is>
          <t xml:space="preserve">Основатели PECÀN</t>
        </is>
      </c>
      <c r="F30" s="4">
        <v>46314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Сметы считаются по технологическому зонированию и инженерным ТЗ, уточняются после рабочей документации дизайна.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Основатели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В договоре: сроки по этому графику, поэтапная оплата, закупка материалов по проектной смете.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Gastro Ultima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Акты осмотра до закрытия стен и начала чистовой отделки.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Gastro Ultima</t>
        </is>
      </c>
      <c r="E39" s="3" t="inlineStr">
        <is>
          <t xml:space="preserve">Основатели PECÀN, 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Gastro Ultima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Собираются по проекту ТХ: печи, расстойка, холод, бар, нейтральное оборудование.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Gastro Ultima</t>
        </is>
      </c>
      <c r="E42" s="3" t="inlineStr">
        <is>
          <t xml:space="preserve">Основатели PECÀN</t>
        </is>
      </c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Gastro Ultima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Собираются по ведомостям мебели и освещения из рабочей документации дизайна.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Основатели PECÀN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Gastro Ultima</t>
        </is>
      </c>
      <c r="E45" s="3" t="inlineStr">
        <is>
          <t xml:space="preserve">Основатели PECÀN</t>
        </is>
      </c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Отбор посуды, мебели, света, декора и оборудования на фабриках, согласование цен.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Основатели PECÀN</t>
        </is>
      </c>
      <c r="E46" s="3" t="inlineStr">
        <is>
          <t xml:space="preserve">Gastro Ultima</t>
        </is>
      </c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печей, расстойки, кофемашины</t>
        </is>
      </c>
      <c r="D47" s="3" t="inlineStr">
        <is>
          <t xml:space="preserve">Основатели PECÀN</t>
        </is>
      </c>
      <c r="E47" s="3" t="inlineStr">
        <is>
          <t xml:space="preserve">Gastro Ultima</t>
        </is>
      </c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Отгрузка с запасом до закрытия фабрик на Китайский Новый год.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Gastro Ultima: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Gastro Ultima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Gastro Ultima</t>
        </is>
      </c>
      <c r="E55" s="3" t="inlineStr">
        <is>
          <t xml:space="preserve">Основатели PECÀN: договор и гонорар</t>
        </is>
      </c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Gastro Ultima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Gastro Ultima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Бариста, пекари, повара, кассиры, зал, клининг.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Основатели PECÀN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Gastro Ultima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Gastro Ultima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команда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Основатели PECÀN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По брендбуку. Дизайн стаканов и крафтовых пакетов обновляется.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Gastro Ultima</t>
        </is>
      </c>
      <c r="E63" s="3" t="inlineStr">
        <is>
          <t xml:space="preserve">Основатели PECÀN</t>
        </is>
      </c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команда</t>
        </is>
      </c>
      <c r="E64" s="3" t="inlineStr">
        <is>
          <t xml:space="preserve">Основатели PECÀN, Gastro Ultima</t>
        </is>
      </c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Основатели PECÀN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Gastro Ultima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Gastro Ultima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Gastro Ultima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Gastro Ultima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Gastro Ultima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Решение о подключении принимают агрегаторы.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Gastro Ultima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Gastro Ultima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Основатели PECÀN</t>
        </is>
      </c>
      <c r="E73" s="3" t="inlineStr">
        <is>
          <t xml:space="preserve">Gastro Ultima</t>
        </is>
      </c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Gastro Ultima</t>
        </is>
      </c>
      <c r="E74" s="3" t="inlineStr">
        <is>
          <t xml:space="preserve">Команда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Gastro Ultima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Gastro Ultima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Основатели PECÀN</t>
        </is>
      </c>
      <c r="E77" s="3" t="inlineStr">
        <is>
          <t xml:space="preserve">Gastro Ultima: медиаплан и ТЗ</t>
        </is>
      </c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Gastro Ultima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Gastro Ultima</t>
        </is>
      </c>
      <c r="E79" s="3" t="inlineStr">
        <is>
          <t xml:space="preserve">Основатели PECÀN: блогеры, подарочный фонд</t>
        </is>
      </c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Основатели PECÀN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Gastro Ultima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Gastro Ultima</t>
        </is>
      </c>
      <c r="E82" s="3" t="inlineStr">
        <is>
          <t xml:space="preserve">Команда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Закрытая фокус-группа, калибровка скорости отдачи на пиковой нагрузке.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команда</t>
        </is>
      </c>
      <c r="E83" s="3" t="inlineStr">
        <is>
          <t xml:space="preserve">Gastro Ultima</t>
        </is>
      </c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Gastro Ultima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Gastro Ultima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AND($D5="Gastro Ultima",$F5&lt;=N$4+6,$G5&gt;=N$4)</formula>
    </cfRule>
    <cfRule type="expression" dxfId="1" priority="2">
      <formula>AND($D5="Основатели PECÀN",$F5&lt;=N$4+6,$G5&gt;=N$4)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команда",$F5&lt;=N$4+6,$G5&gt;=N$4)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"Gastro Ultima,Основатели PECÀN,Дизайн-студия,Строители,Поставщики и логистика,Шефы и команда"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Gastro Ultima</t>
        </is>
      </c>
      <c r="D5" s="5"/>
      <c r="E5" s="5"/>
      <c r="F5" s="5">
        <f>A5-TODAY()</f>
      </c>
      <c r="G5" s="10"/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Основатели PECÀN</t>
        </is>
      </c>
      <c r="D6" s="5"/>
      <c r="E6" s="5" t="inlineStr">
        <is>
          <t xml:space="preserve">да</t>
        </is>
      </c>
      <c r="F6" s="5">
        <f>A6-TODAY()</f>
      </c>
      <c r="G6" s="10"/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Основатели PECÀN</t>
        </is>
      </c>
      <c r="D7" s="5"/>
      <c r="E7" s="5" t="inlineStr">
        <is>
          <t xml:space="preserve">да</t>
        </is>
      </c>
      <c r="F7" s="5">
        <f>A7-TODAY()</f>
      </c>
      <c r="G7" s="10"/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Gastro Ultima</t>
        </is>
      </c>
      <c r="D8" s="5"/>
      <c r="E8" s="5"/>
      <c r="F8" s="5">
        <f>A8-TODAY()</f>
      </c>
      <c r="G8" s="10"/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Основатели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Gastro Ultima</t>
        </is>
      </c>
      <c r="D10" s="5"/>
      <c r="E10" s="5"/>
      <c r="F10" s="5">
        <f>A10-TODAY()</f>
      </c>
      <c r="G10" s="10"/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/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Основатели PECÀN</t>
        </is>
      </c>
      <c r="D12" s="5"/>
      <c r="E12" s="5" t="inlineStr">
        <is>
          <t xml:space="preserve">да</t>
        </is>
      </c>
      <c r="F12" s="5">
        <f>A12-TODAY()</f>
      </c>
      <c r="G12" s="10"/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/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Gastro Ultima</t>
        </is>
      </c>
      <c r="D14" s="5"/>
      <c r="E14" s="5"/>
      <c r="F14" s="5">
        <f>A14-TODAY()</f>
      </c>
      <c r="G14" s="10"/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Gastro Ultima</t>
        </is>
      </c>
      <c r="D15" s="5"/>
      <c r="E15" s="5"/>
      <c r="F15" s="5">
        <f>A15-TODAY()</f>
      </c>
      <c r="G15" s="10"/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/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/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Gastro Ultima</t>
        </is>
      </c>
      <c r="D18" s="5"/>
      <c r="E18" s="5" t="inlineStr">
        <is>
          <t xml:space="preserve">да</t>
        </is>
      </c>
      <c r="F18" s="5">
        <f>A18-TODAY()</f>
      </c>
      <c r="G18" s="10"/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Gastro Ultima</t>
        </is>
      </c>
      <c r="D19" s="5"/>
      <c r="E19" s="5" t="inlineStr">
        <is>
          <t xml:space="preserve">да</t>
        </is>
      </c>
      <c r="F19" s="5">
        <f>A19-TODAY()</f>
      </c>
      <c r="G19" s="10"/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Gastro Ultima</t>
        </is>
      </c>
      <c r="D20" s="5"/>
      <c r="E20" s="5" t="inlineStr">
        <is>
          <t xml:space="preserve">да</t>
        </is>
      </c>
      <c r="F20" s="5">
        <f>A20-TODAY()</f>
      </c>
      <c r="G20" s="10"/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Основатели PECÀN согласуют материалы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02" customHeight="1">
      <c r="A5" s="11" t="inlineStr">
        <is>
          <t xml:space="preserve">Gastro Ultima</t>
        </is>
      </c>
      <c r="B5" s="3" t="inlineStr">
        <is>
          <t xml:space="preserve">Консалтинг и управление проектом</t>
        </is>
      </c>
      <c r="C5" s="5">
        <f>COUNTIF('График'!D:D,A5)</f>
      </c>
      <c r="D5" s="3" t="inlineStr">
        <is>
          <t xml:space="preserve">• Ведёт проект целиком: график, контрольные точки, отчётность
• Аналитика локации, финансовая модель, маркетинговая стратегия
• Технологический проект (ТХ), инженерные ТЗ, технологический надзор
• Спецификации оснащения и выездная сессия в Китае
• Подбор команды, обучение, аттестация
• iiko, лояльность, стандарты, ХАССП, сопровождение открытия</t>
        </is>
      </c>
    </row>
    <row r="6" ht="86" customHeight="1">
      <c r="A6" s="12" t="inlineStr">
        <is>
          <t xml:space="preserve">Основатели PECÀN</t>
        </is>
      </c>
      <c r="B6" s="3" t="inlineStr">
        <is>
          <t xml:space="preserve">Владельцы кофейни</t>
        </is>
      </c>
      <c r="C6" s="5">
        <f>COUNTIF('График'!D:D,A6)</f>
      </c>
      <c r="D6" s="3" t="inlineStr">
        <is>
          <t xml:space="preserve">• Согласуют материалы в течение 3 рабочих дней
• Регистрируют ТОО, открывают счёт, заключают договоры
• Оплачивают строителей, дизайн, оборудование, логистику и таможню
• Финансируют рекламу, вывеску, полиграфию, упаковку
• Закупают первый товарный запас и расходники</t>
        </is>
      </c>
    </row>
    <row r="7" ht="86" customHeight="1">
      <c r="A7" s="13" t="inlineStr">
        <is>
          <t xml:space="preserve">Дизайн-студия</t>
        </is>
      </c>
      <c r="B7" s="3" t="inlineStr">
        <is>
          <t xml:space="preserve">Новый подрядчик · выбираем до 16 октября</t>
        </is>
      </c>
      <c r="C7" s="5">
        <f>COUNTIF('График'!D:D,A7)</f>
      </c>
      <c r="D7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8" ht="86" customHeight="1">
      <c r="A8" s="14" t="inlineStr">
        <is>
          <t xml:space="preserve">Строители</t>
        </is>
      </c>
      <c r="B8" s="3" t="inlineStr">
        <is>
          <t xml:space="preserve">Новая бригада · выбираем до 30 октября</t>
        </is>
      </c>
      <c r="C8" s="5">
        <f>COUNTIF('График'!D:D,A8)</f>
      </c>
      <c r="D8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9" ht="70" customHeight="1">
      <c r="A9" s="15" t="inlineStr">
        <is>
          <t xml:space="preserve">Поставщики и логистика</t>
        </is>
      </c>
      <c r="B9" s="3" t="inlineStr">
        <is>
          <t xml:space="preserve">Фабрики КНР, европейские линии, карго, таможня</t>
        </is>
      </c>
      <c r="C9" s="5">
        <f>COUNTIF('График'!D:D,A9)</f>
      </c>
      <c r="D9" s="3" t="inlineStr">
        <is>
          <t xml:space="preserve">• Производство мебели, света, посуды, нейтрального оборудования
• Поставка печей, расстойки, кофемашины
• Отгрузка до Китайского Нового года
• Доставка, таможенное оформление, разгрузка на объекте</t>
        </is>
      </c>
    </row>
    <row r="10" ht="70" customHeight="1">
      <c r="A10" s="16" t="inlineStr">
        <is>
          <t xml:space="preserve">Шефы и команда</t>
        </is>
      </c>
      <c r="B10" s="3" t="inlineStr">
        <is>
          <t xml:space="preserve">Шеф-пекарь, шеф-бариста, управляющий, линейный персонал</t>
        </is>
      </c>
      <c r="C10" s="5">
        <f>COUNTIF('График'!D:D,A10)</f>
      </c>
      <c r="D10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