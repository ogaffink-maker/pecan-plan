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'График'!$A$4:$M$86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10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Оценка трафика у входа: расчётная модель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46305</v>
      </c>
      <c r="H10" s="5">
        <f>G10-F10+1</f>
      </c>
      <c r="I10" s="6">
        <v>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Поток у входа оценён расчётом: число квартир и жителей квартала, автомобили, способы передвижения и маршруты, которые проходят мимо входа. Получили поток по времени суток в будни и выходные и ожидаемое число чеков в день. Одночасовой контрольный счёт на месте утром буднего дня уточнит модель. Результат: Раздел отчёта «Локация, трафик и ожидаемый поток гостей»: поток по часам и дням недели, расчёт числа чеков с диапазоном.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 и анализ конкурентов. Результат: Модель в Excel с точкой безубыточности, сроком окупаемости и бюджетом открытия, который укладывается в ваш лимит.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1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20–25 мест,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Вариант планировки письменно подтверждён в чате,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Задание на инженерные сети: точки подключения и нагрузки оборудования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Команда PECÀN описывает, что нужно оборудованию: где какая розетка и какой мощности, включая 380 В для печей, где подвести воду и канализацию, где поставить трапы, какая вытяжка нужна над печами и плитой. Это задание для инженеров бригады: сами схемы и расчёты кабелей, труб и воздуховодов делают они. Результат: Задание по электрике, воде, канализации и вентиляции, по которому бригада делает рабочие схемы и считает смету.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задание на инженерные сети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 Результат: Чертежи и задание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дизайн-студию с нуля. Отбираем студии с опытом в кофейнях и пекарнях, смотрим портфолио и реализованные объекты, запрашиваем предложения по срокам и стоимости. Авторский надзор включаем в договор сразу. Результат: Короткий список из двух–трёх студий со сравнением: стиль, сроки, стоимость, загрузка.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 t="inlineStr">
        <is>
          <t xml:space="preserve">Выбор студии и подписание договора на дизайн-проект и авторский надзор. В договоре фиксируются три даты сдачи. Результат: Договор со студией подписан, студия получила исходные материалы и приступила к работе.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Студия предлагает образ интерьера: настроение, материалы, цвета, свет, расстановку мебели. Опирается на брендбук, референсы и утверждённое технологическое зонирование от команды PECÀN. Результат: Концепция и планировочное решение согласованы, можно делать визуализации.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 t="inlineStr">
        <is>
          <t xml:space="preserve">Реалистичные картинки будущего интерьера с основных ракурсов: вход, бар и витрина, зал, санузел. Результат: Визуализации согласованы: вы видите, как будет выглядеть кофейня, и вам это нравится.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для студии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план освещения, план розеток и выключателей в зале, ведомости отделки, мебели и освещения, проектная смета. Срок сжатый: пять недель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со студией.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Обязательное условие: у бригады есть свой инженер, который делает рабочие схемы сетей с расчётами. Выезжаем на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заданию на инженерные сети.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Рабочие схемы электрики, воды и вентиляции с расчётами</t>
        </is>
      </c>
      <c r="D33" s="3" t="inlineStr">
        <is>
          <t xml:space="preserve">Строители</t>
        </is>
      </c>
      <c r="E33" s="3" t="inlineStr">
        <is>
          <t xml:space="preserve">Команда PECÀN: проверка</t>
        </is>
      </c>
      <c r="F33" s="4">
        <v>46328</v>
      </c>
      <c r="G33" s="4">
        <v>46332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Инженер бригады по нашему заданию делает рабочие схемы: щит и автоматы, сечения кабелей, трассы труб, диаметры, воздуховоды и подбор вентиляторов. Розетки и свет в зале берёт из дизайн-проекта. Схемы готовы до начала прокладки сетей. Результат: Схемы электрики, водоснабжения, канализации и вентиляции проверены командой PECÀN, по ним уточнена смета.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Черновые работы и перегородки</t>
        </is>
      </c>
      <c r="D34" s="3" t="inlineStr">
        <is>
          <t xml:space="preserve">Строители</t>
        </is>
      </c>
      <c r="E34" s="3"/>
      <c r="F34" s="4">
        <v>46328</v>
      </c>
      <c r="G34" s="4">
        <v>46346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Электрика, вода, канализация, трапы, жироуловитель</t>
        </is>
      </c>
      <c r="D35" s="3" t="inlineStr">
        <is>
          <t xml:space="preserve">Строители</t>
        </is>
      </c>
      <c r="E35" s="3"/>
      <c r="F35" s="4">
        <v>46335</v>
      </c>
      <c r="G35" s="4">
        <v>46360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Прокладка электрики с выводом 380 В под печи, водопровода, канализации, установка трапов и жироуловителя. Работы идут по рабочим схемам бригады, которые сделаны по заданию команды PECÀN. Результат: Все выводы сделаны в точках по проекту и проверены до закрытия стен.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Технологический надзор за выводами коммуникаций</t>
        </is>
      </c>
      <c r="D36" s="3" t="inlineStr">
        <is>
          <t xml:space="preserve">Команда PECÀN</t>
        </is>
      </c>
      <c r="E36" s="3"/>
      <c r="F36" s="4">
        <v>46335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оборудование, и соответствуют заданию. Результат: Акты осмотра подписаны до закрытия стен, переделок после отделки не потребуется.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Вентиляция и кондиционирование</t>
        </is>
      </c>
      <c r="D37" s="3" t="inlineStr">
        <is>
          <t xml:space="preserve">Строители</t>
        </is>
      </c>
      <c r="E37" s="3"/>
      <c r="F37" s="4">
        <v>46342</v>
      </c>
      <c r="G37" s="4">
        <v>46367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Чистовая отделка</t>
        </is>
      </c>
      <c r="D38" s="3" t="inlineStr">
        <is>
          <t xml:space="preserve">Строители</t>
        </is>
      </c>
      <c r="E38" s="3"/>
      <c r="F38" s="4">
        <v>46363</v>
      </c>
      <c r="G38" s="4">
        <v>46402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3" t="inlineStr">
        <is>
          <t xml:space="preserve">Свет, сантехника, столярные изделия</t>
        </is>
      </c>
      <c r="D39" s="3" t="inlineStr">
        <is>
          <t xml:space="preserve">Строители</t>
        </is>
      </c>
      <c r="E39" s="3"/>
      <c r="F39" s="4">
        <v>46391</v>
      </c>
      <c r="G39" s="4">
        <v>46409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/>
      <c r="L39" s="5"/>
      <c r="M39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17" t="inlineStr">
        <is>
          <t xml:space="preserve">Приёмка строительной готовности</t>
        </is>
      </c>
      <c r="D40" s="3" t="inlineStr">
        <is>
          <t xml:space="preserve">Команда PECÀN</t>
        </is>
      </c>
      <c r="E40" s="3" t="inlineStr">
        <is>
          <t xml:space="preserve">Строители</t>
        </is>
      </c>
      <c r="F40" s="4">
        <v>46412</v>
      </c>
      <c r="G40" s="4">
        <v>46412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 t="inlineStr">
        <is>
          <t xml:space="preserve">да</t>
        </is>
      </c>
      <c r="L40" s="5"/>
      <c r="M40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Строительство и отделка</t>
        </is>
      </c>
      <c r="C41" s="3" t="inlineStr">
        <is>
          <t xml:space="preserve">Генеральная уборка после ремонта</t>
        </is>
      </c>
      <c r="D41" s="3" t="inlineStr">
        <is>
          <t xml:space="preserve">Строители</t>
        </is>
      </c>
      <c r="E41" s="3"/>
      <c r="F41" s="4">
        <v>46412</v>
      </c>
      <c r="G41" s="4">
        <v>46414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/>
      <c r="M41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Спецификации технологического оборудования и инвентаря</t>
        </is>
      </c>
      <c r="D42" s="3" t="inlineStr">
        <is>
          <t xml:space="preserve">Команда PECÀN</t>
        </is>
      </c>
      <c r="E42" s="3"/>
      <c r="F42" s="4">
        <v>46321</v>
      </c>
      <c r="G42" s="4">
        <v>46339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 t="inlineStr">
        <is>
          <t xml:space="preserve">да</t>
        </is>
      </c>
      <c r="M42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Подготовка поездки: маршрут фабрик, визы, билеты</t>
        </is>
      </c>
      <c r="D43" s="3" t="inlineStr">
        <is>
          <t xml:space="preserve">Команда PECÀN</t>
        </is>
      </c>
      <c r="E43" s="3"/>
      <c r="F43" s="4">
        <v>46328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/>
      <c r="M43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3" t="inlineStr">
        <is>
          <t xml:space="preserve">Спецификации мебели, света и посуды по дизайн-проекту</t>
        </is>
      </c>
      <c r="D44" s="3" t="inlineStr">
        <is>
          <t xml:space="preserve">Команда PECÀN</t>
        </is>
      </c>
      <c r="E44" s="3" t="inlineStr">
        <is>
          <t xml:space="preserve">Дизайн-студия</t>
        </is>
      </c>
      <c r="F44" s="4">
        <v>46335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/>
      <c r="L44" s="5" t="inlineStr">
        <is>
          <t xml:space="preserve">да</t>
        </is>
      </c>
      <c r="M44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17" t="inlineStr">
        <is>
          <t xml:space="preserve">Спецификации и бюджет закупок утверждены</t>
        </is>
      </c>
      <c r="D45" s="3" t="inlineStr">
        <is>
          <t xml:space="preserve">Команда PECÀN</t>
        </is>
      </c>
      <c r="E45" s="3"/>
      <c r="F45" s="4">
        <v>46346</v>
      </c>
      <c r="G45" s="4">
        <v>46346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 t="inlineStr">
        <is>
          <t xml:space="preserve">да</t>
        </is>
      </c>
      <c r="L45" s="5" t="inlineStr">
        <is>
          <t xml:space="preserve">да</t>
        </is>
      </c>
      <c r="M45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Выездная сессия в Китае: Гуанчжоу, Фошань</t>
        </is>
      </c>
      <c r="D46" s="3" t="inlineStr">
        <is>
          <t xml:space="preserve">Команда PECÀN</t>
        </is>
      </c>
      <c r="E46" s="3"/>
      <c r="F46" s="4">
        <v>46349</v>
      </c>
      <c r="G46" s="4">
        <v>46355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Размещение заказов и предоплата фабрикам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46360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 t="inlineStr">
        <is>
          <t xml:space="preserve">да</t>
        </is>
      </c>
      <c r="M47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Заказ кофемашины у дилера в Казахстане</t>
        </is>
      </c>
      <c r="D48" s="3" t="inlineStr">
        <is>
          <t xml:space="preserve">Команда PECÀN</t>
        </is>
      </c>
      <c r="E48" s="3"/>
      <c r="F48" s="4">
        <v>46356</v>
      </c>
      <c r="G48" s="4">
        <v>46367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/>
      <c r="M48" s="10" t="inlineStr">
        <is>
          <t xml:space="preserve">Выбор и заказ кофемашины у дилера в Казахстане: с гарантией, сервисом и обучением. Результат: Кофемашина оплачена, дилер подтвердил дату поставки и установки.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Производство на фабриках</t>
        </is>
      </c>
      <c r="D49" s="3" t="inlineStr">
        <is>
          <t xml:space="preserve">Поставщики и логистика</t>
        </is>
      </c>
      <c r="E49" s="3"/>
      <c r="F49" s="4">
        <v>46363</v>
      </c>
      <c r="G49" s="4">
        <v>46395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Контроль качества и отгрузка из Китая</t>
        </is>
      </c>
      <c r="D50" s="3" t="inlineStr">
        <is>
          <t xml:space="preserve">Поставщики и логистика</t>
        </is>
      </c>
      <c r="E50" s="3"/>
      <c r="F50" s="4">
        <v>46391</v>
      </c>
      <c r="G50" s="4">
        <v>46400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3" t="inlineStr">
        <is>
          <t xml:space="preserve">Доставка и таможенное оформление</t>
        </is>
      </c>
      <c r="D51" s="3" t="inlineStr">
        <is>
          <t xml:space="preserve">Поставщики и логистика</t>
        </is>
      </c>
      <c r="E51" s="3"/>
      <c r="F51" s="4">
        <v>46400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/>
      <c r="L51" s="5" t="inlineStr">
        <is>
          <t xml:space="preserve">да</t>
        </is>
      </c>
      <c r="M51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17" t="inlineStr">
        <is>
          <t xml:space="preserve">Оборудование и мебель на объекте</t>
        </is>
      </c>
      <c r="D52" s="3" t="inlineStr">
        <is>
          <t xml:space="preserve">Поставщики и логистика</t>
        </is>
      </c>
      <c r="E52" s="3"/>
      <c r="F52" s="4">
        <v>46416</v>
      </c>
      <c r="G52" s="4">
        <v>46416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 t="inlineStr">
        <is>
          <t xml:space="preserve">да</t>
        </is>
      </c>
      <c r="L52" s="5" t="inlineStr">
        <is>
          <t xml:space="preserve">да</t>
        </is>
      </c>
      <c r="M52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Монтаж оборудования, пусконаладка</t>
        </is>
      </c>
      <c r="D53" s="3" t="inlineStr">
        <is>
          <t xml:space="preserve">Поставщики и логистика</t>
        </is>
      </c>
      <c r="E53" s="3" t="inlineStr">
        <is>
          <t xml:space="preserve">Команда PECÀN: шеф-контроль</t>
        </is>
      </c>
      <c r="F53" s="4">
        <v>46419</v>
      </c>
      <c r="G53" s="4">
        <v>46425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 t="inlineStr">
        <is>
          <t xml:space="preserve">да</t>
        </is>
      </c>
      <c r="M53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Комплектация и Китай</t>
        </is>
      </c>
      <c r="C54" s="3" t="inlineStr">
        <is>
          <t xml:space="preserve">Расстановка мебели, свет, декор</t>
        </is>
      </c>
      <c r="D54" s="3" t="inlineStr">
        <is>
          <t xml:space="preserve">Дизайн-студия</t>
        </is>
      </c>
      <c r="E54" s="3"/>
      <c r="F54" s="4">
        <v>46421</v>
      </c>
      <c r="G54" s="4">
        <v>46427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Штатное расписание, фонд оплаты труда, KPI</t>
        </is>
      </c>
      <c r="D55" s="3" t="inlineStr">
        <is>
          <t xml:space="preserve">Команда PECÀN</t>
        </is>
      </c>
      <c r="E55" s="3"/>
      <c r="F55" s="4">
        <v>46328</v>
      </c>
      <c r="G55" s="4">
        <v>46339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Подбор шеф-пекаря и шеф-бариста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46367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Поиск управляющего</t>
        </is>
      </c>
      <c r="D57" s="3" t="inlineStr">
        <is>
          <t xml:space="preserve">Команда PECÀN</t>
        </is>
      </c>
      <c r="E57" s="3"/>
      <c r="F57" s="4">
        <v>46342</v>
      </c>
      <c r="G57" s="4">
        <v>46374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Подбор линейного персонала</t>
        </is>
      </c>
      <c r="D58" s="3" t="inlineStr">
        <is>
          <t xml:space="preserve">Команда PECÀN</t>
        </is>
      </c>
      <c r="E58" s="3"/>
      <c r="F58" s="4">
        <v>46391</v>
      </c>
      <c r="G58" s="4">
        <v>46416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3" t="inlineStr">
        <is>
          <t xml:space="preserve">Оформление сотрудников и медицинские книжки</t>
        </is>
      </c>
      <c r="D59" s="3" t="inlineStr">
        <is>
          <t xml:space="preserve">Команда PECÀN</t>
        </is>
      </c>
      <c r="E59" s="3"/>
      <c r="F59" s="4">
        <v>46412</v>
      </c>
      <c r="G59" s="4">
        <v>46423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/>
      <c r="L59" s="5"/>
      <c r="M59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Команда</t>
        </is>
      </c>
      <c r="C60" s="17" t="inlineStr">
        <is>
          <t xml:space="preserve">Штат укомплектован: 10–14 человек</t>
        </is>
      </c>
      <c r="D60" s="3" t="inlineStr">
        <is>
          <t xml:space="preserve">Команда PECÀN</t>
        </is>
      </c>
      <c r="E60" s="3"/>
      <c r="F60" s="4">
        <v>46416</v>
      </c>
      <c r="G60" s="4">
        <v>46416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 t="inlineStr">
        <is>
          <t xml:space="preserve">да</t>
        </is>
      </c>
      <c r="L60" s="5"/>
      <c r="M60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Концепция меню</t>
        </is>
      </c>
      <c r="D61" s="3" t="inlineStr">
        <is>
          <t xml:space="preserve">Команда PECÀN</t>
        </is>
      </c>
      <c r="E61" s="3" t="inlineStr">
        <is>
          <t xml:space="preserve">Шефы</t>
        </is>
      </c>
      <c r="F61" s="4">
        <v>46335</v>
      </c>
      <c r="G61" s="4">
        <v>46353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Рецептуры и технологические карты</t>
        </is>
      </c>
      <c r="D62" s="3" t="inlineStr">
        <is>
          <t xml:space="preserve">Шефы и персонал</t>
        </is>
      </c>
      <c r="E62" s="3"/>
      <c r="F62" s="4">
        <v>46363</v>
      </c>
      <c r="G62" s="4">
        <v>46409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Упаковка, печать меню, форма персонала</t>
        </is>
      </c>
      <c r="D63" s="3" t="inlineStr">
        <is>
          <t xml:space="preserve">Команда PECÀN</t>
        </is>
      </c>
      <c r="E63" s="3"/>
      <c r="F63" s="4">
        <v>46391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Поставщики сырья: отбор и договоры</t>
        </is>
      </c>
      <c r="D64" s="3" t="inlineStr">
        <is>
          <t xml:space="preserve">Команда PECÀN</t>
        </is>
      </c>
      <c r="E64" s="3"/>
      <c r="F64" s="4">
        <v>46398</v>
      </c>
      <c r="G64" s="4">
        <v>46423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Меню и продукт</t>
        </is>
      </c>
      <c r="C65" s="3" t="inlineStr">
        <is>
          <t xml:space="preserve">Проработки и дегустации на объекте</t>
        </is>
      </c>
      <c r="D65" s="3" t="inlineStr">
        <is>
          <t xml:space="preserve">Шефы и персонал</t>
        </is>
      </c>
      <c r="E65" s="3"/>
      <c r="F65" s="4">
        <v>46426</v>
      </c>
      <c r="G65" s="4">
        <v>46431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Закупка касс, принтеров, лицензий iiko</t>
        </is>
      </c>
      <c r="D66" s="3" t="inlineStr">
        <is>
          <t xml:space="preserve">Команда PECÀN</t>
        </is>
      </c>
      <c r="E66" s="3"/>
      <c r="F66" s="4">
        <v>46398</v>
      </c>
      <c r="G66" s="4">
        <v>46409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Настройка iiko: номенклатура, склады, техкарты</t>
        </is>
      </c>
      <c r="D67" s="3" t="inlineStr">
        <is>
          <t xml:space="preserve">Команда PECÀN</t>
        </is>
      </c>
      <c r="E67" s="3"/>
      <c r="F67" s="4">
        <v>46412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Бонусная программа лояльности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Kaspi Pay, Webkassa, кассовая зона</t>
        </is>
      </c>
      <c r="D69" s="3" t="inlineStr">
        <is>
          <t xml:space="preserve">Команда PECÀN</t>
        </is>
      </c>
      <c r="E69" s="3"/>
      <c r="F69" s="4">
        <v>46419</v>
      </c>
      <c r="G69" s="4">
        <v>46430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Дашборд для владельцев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46437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Автоматизация и IT</t>
        </is>
      </c>
      <c r="C71" s="3" t="inlineStr">
        <is>
          <t xml:space="preserve">Заявки в Wolt, Yandex Eats, Glovo, Choco</t>
        </is>
      </c>
      <c r="D71" s="3" t="inlineStr">
        <is>
          <t xml:space="preserve">Команда PECÀN</t>
        </is>
      </c>
      <c r="E71" s="3"/>
      <c r="F71" s="4">
        <v>46426</v>
      </c>
      <c r="G71" s="4">
        <v>46444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Service Book, должностные инструкции, чек-листы, ХАССП</t>
        </is>
      </c>
      <c r="D72" s="3" t="inlineStr">
        <is>
          <t xml:space="preserve">Команда PECÀN</t>
        </is>
      </c>
      <c r="E72" s="3"/>
      <c r="F72" s="4">
        <v>46342</v>
      </c>
      <c r="G72" s="4">
        <v>46374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Обучение управляющего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46423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Договоры ЖКХ, вывоз отходов, уведомление о начале деятельности</t>
        </is>
      </c>
      <c r="D74" s="3" t="inlineStr">
        <is>
          <t xml:space="preserve">Команда PECÀN</t>
        </is>
      </c>
      <c r="E74" s="3"/>
      <c r="F74" s="4">
        <v>46412</v>
      </c>
      <c r="G74" s="4">
        <v>46430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/>
      <c r="M74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3" t="inlineStr">
        <is>
          <t xml:space="preserve">Академия PECÀN: бариста, пекарня, кухня, сервис</t>
        </is>
      </c>
      <c r="D75" s="3" t="inlineStr">
        <is>
          <t xml:space="preserve">Команда PECÀN</t>
        </is>
      </c>
      <c r="E75" s="3" t="inlineStr">
        <is>
          <t xml:space="preserve">Персонал кофейни</t>
        </is>
      </c>
      <c r="F75" s="4">
        <v>46426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/>
      <c r="L75" s="5" t="inlineStr">
        <is>
          <t xml:space="preserve">да</t>
        </is>
      </c>
      <c r="M75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Стандарты и обучение</t>
        </is>
      </c>
      <c r="C76" s="17" t="inlineStr">
        <is>
          <t xml:space="preserve">Аттестация команды</t>
        </is>
      </c>
      <c r="D76" s="3" t="inlineStr">
        <is>
          <t xml:space="preserve">Команда PECÀN</t>
        </is>
      </c>
      <c r="E76" s="3"/>
      <c r="F76" s="4">
        <v>46431</v>
      </c>
      <c r="G76" s="4">
        <v>46431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 t="inlineStr">
        <is>
          <t xml:space="preserve">да</t>
        </is>
      </c>
      <c r="L76" s="5" t="inlineStr">
        <is>
          <t xml:space="preserve">да</t>
        </is>
      </c>
      <c r="M76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Медиаплан запуска</t>
        </is>
      </c>
      <c r="D77" s="3" t="inlineStr">
        <is>
          <t xml:space="preserve">Команда PECÀN</t>
        </is>
      </c>
      <c r="E77" s="3"/>
      <c r="F77" s="4">
        <v>46321</v>
      </c>
      <c r="G77" s="4">
        <v>46339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Instagram: прогрев до открытия</t>
        </is>
      </c>
      <c r="D78" s="3" t="inlineStr">
        <is>
          <t xml:space="preserve">Команда PECÀN</t>
        </is>
      </c>
      <c r="E78" s="3"/>
      <c r="F78" s="4">
        <v>46391</v>
      </c>
      <c r="G78" s="4">
        <v>46459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Карточки в 2ГИС, Яндекс и Google</t>
        </is>
      </c>
      <c r="D79" s="3" t="inlineStr">
        <is>
          <t xml:space="preserve">Команда PECÀN</t>
        </is>
      </c>
      <c r="E79" s="3"/>
      <c r="F79" s="4">
        <v>46419</v>
      </c>
      <c r="G79" s="4">
        <v>46430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Маркетинг запуска</t>
        </is>
      </c>
      <c r="C80" s="3" t="inlineStr">
        <is>
          <t xml:space="preserve">Подготовка торжественного открытия</t>
        </is>
      </c>
      <c r="D80" s="3" t="inlineStr">
        <is>
          <t xml:space="preserve">Команда PECÀN</t>
        </is>
      </c>
      <c r="E80" s="3"/>
      <c r="F80" s="4">
        <v>46433</v>
      </c>
      <c r="G80" s="4">
        <v>46458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3" t="inlineStr">
        <is>
          <t xml:space="preserve">Первый закуп продуктов и расходников</t>
        </is>
      </c>
      <c r="D81" s="3" t="inlineStr">
        <is>
          <t xml:space="preserve">Команда PECÀN</t>
        </is>
      </c>
      <c r="E81" s="3"/>
      <c r="F81" s="4">
        <v>46428</v>
      </c>
      <c r="G81" s="4">
        <v>46432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/>
      <c r="L81" s="5"/>
      <c r="M81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17" t="inlineStr">
        <is>
          <t xml:space="preserve">Техническое открытие</t>
        </is>
      </c>
      <c r="D82" s="3" t="inlineStr">
        <is>
          <t xml:space="preserve">Команда PECÀN</t>
        </is>
      </c>
      <c r="E82" s="3" t="inlineStr">
        <is>
          <t xml:space="preserve">Все участники</t>
        </is>
      </c>
      <c r="F82" s="4">
        <v>46433</v>
      </c>
      <c r="G82" s="4">
        <v>46433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 t="inlineStr">
        <is>
          <t xml:space="preserve">да</t>
        </is>
      </c>
      <c r="L82" s="5" t="inlineStr">
        <is>
          <t xml:space="preserve">да</t>
        </is>
      </c>
      <c r="M82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Тестовая эксплуатация, 10 дней</t>
        </is>
      </c>
      <c r="D83" s="3" t="inlineStr">
        <is>
          <t xml:space="preserve">Команда PECÀN</t>
        </is>
      </c>
      <c r="E83" s="3" t="inlineStr">
        <is>
          <t xml:space="preserve">Персонал кофейни</t>
        </is>
      </c>
      <c r="F83" s="4">
        <v>46433</v>
      </c>
      <c r="G83" s="4">
        <v>46442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 t="inlineStr">
        <is>
          <t xml:space="preserve">да</t>
        </is>
      </c>
      <c r="M83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3" t="inlineStr">
        <is>
          <t xml:space="preserve">Работа в мягком режиме, доводка процессов</t>
        </is>
      </c>
      <c r="D84" s="3" t="inlineStr">
        <is>
          <t xml:space="preserve">Шефы и персонал</t>
        </is>
      </c>
      <c r="E84" s="3"/>
      <c r="F84" s="4">
        <v>46443</v>
      </c>
      <c r="G84" s="4">
        <v>46458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/>
      <c r="L84" s="5"/>
      <c r="M84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17" t="inlineStr">
        <is>
          <t xml:space="preserve">Торжественное открытие</t>
        </is>
      </c>
      <c r="D85" s="3" t="inlineStr">
        <is>
          <t xml:space="preserve">Команда PECÀN</t>
        </is>
      </c>
      <c r="E85" s="3" t="inlineStr">
        <is>
          <t xml:space="preserve">Все участники</t>
        </is>
      </c>
      <c r="F85" s="4">
        <v>46459</v>
      </c>
      <c r="G85" s="4">
        <v>46459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 t="inlineStr">
        <is>
          <t xml:space="preserve">да</t>
        </is>
      </c>
      <c r="L85" s="5" t="inlineStr">
        <is>
          <t xml:space="preserve">да</t>
        </is>
      </c>
      <c r="M85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>
      <c r="A86" s="5">
        <v>82</v>
      </c>
      <c r="B86" s="3" t="inlineStr">
        <is>
          <t xml:space="preserve">Запуск</t>
        </is>
      </c>
      <c r="C86" s="3" t="inlineStr">
        <is>
          <t xml:space="preserve">Итоговый аудит и акт, передача кофейни владельцам</t>
        </is>
      </c>
      <c r="D86" s="3" t="inlineStr">
        <is>
          <t xml:space="preserve">Команда PECÀN</t>
        </is>
      </c>
      <c r="E86" s="3"/>
      <c r="F86" s="4">
        <v>46461</v>
      </c>
      <c r="G86" s="4">
        <v>46465</v>
      </c>
      <c r="H86" s="5">
        <f>G86-F86+1</f>
      </c>
      <c r="I86" s="6">
        <v>0</v>
      </c>
      <c r="J86" s="5" t="str">
        <f>IF(I86&gt;=1,"Готово",IF(G86&lt;TODAY(),"Просрочено",IF(F86&lt;=TODAY(),"В работе","В плане")))</f>
      </c>
      <c r="K86" s="5"/>
      <c r="L86" s="5"/>
      <c r="M86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</sheetData>
  <autoFilter ref="A4:M86"/>
  <conditionalFormatting sqref="N5:AN86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6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6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 t="inlineStr">
        <is>
          <t xml:space="preserve">Выбор студии и подписание договора на дизайн-проект и авторский надзор. В договоре фиксируются три даты сдачи.</t>
        </is>
      </c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задание на инженерные сети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задание на инженерные сети,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план освещения и розеток, ведомости, смета
• Авторский надзор за отделкой и декором
• Эскиз фасадной вывески</t>
        </is>
      </c>
    </row>
    <row r="7" ht="102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Рабочие схемы сетей с расчётами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