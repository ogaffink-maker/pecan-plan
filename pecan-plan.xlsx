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График" sheetId="1" r:id="rId1"/>
    <sheet name="Вехи" sheetId="2" r:id="rId2"/>
    <sheet name="Роли" sheetId="3" r:id="rId3"/>
  </sheets>
  <definedNames>
    <definedName name="_xlnm._FilterDatabase" localSheetId="0" hidden="1">'График'!$A$4:$M$86</definedName>
    <definedName name="_xlnm.Print_Titles" localSheetId="0">'График'!$4:$4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dd.mm"/>
  </numFmts>
  <fonts count="7">
    <font>
      <sz val="10"/>
      <color rgb="FF3A1019"/>
      <name val="Arial"/>
    </font>
    <font>
      <b/>
      <sz val="16"/>
      <color rgb="FF862837"/>
      <name val="Arial"/>
    </font>
    <font>
      <b/>
      <sz val="10"/>
      <color rgb="FF862837"/>
      <name val="Arial"/>
    </font>
    <font>
      <b/>
      <sz val="10"/>
      <color rgb="FF3A1019"/>
      <name val="Arial"/>
    </font>
    <font>
      <sz val="9"/>
      <color rgb="FF8A6A6F"/>
      <name val="Arial"/>
    </font>
    <font>
      <b/>
      <sz val="8"/>
      <color rgb="FF862837"/>
      <name val="Arial"/>
    </font>
    <font>
      <b/>
      <sz val="10"/>
      <color rgb="FFFFFFFF"/>
      <name val="Arial"/>
    </font>
  </fonts>
  <fills count="10">
    <fill>
      <patternFill patternType="none"/>
    </fill>
    <fill>
      <patternFill patternType="gray125"/>
    </fill>
    <fill>
      <patternFill patternType="solid">
        <fgColor rgb="FFF7DC9F"/>
        <bgColor indexed="64"/>
      </patternFill>
    </fill>
    <fill>
      <patternFill patternType="solid">
        <fgColor rgb="FFF7DC9F"/>
        <bgColor indexed="64"/>
      </patternFill>
    </fill>
    <fill>
      <patternFill patternType="solid">
        <fgColor rgb="FF862837"/>
        <bgColor indexed="64"/>
      </patternFill>
    </fill>
    <fill>
      <patternFill patternType="solid">
        <fgColor rgb="FF4F86A6"/>
        <bgColor indexed="64"/>
      </patternFill>
    </fill>
    <fill>
      <patternFill patternType="solid">
        <fgColor rgb="FFD59A2A"/>
        <bgColor indexed="64"/>
      </patternFill>
    </fill>
    <fill>
      <patternFill patternType="solid">
        <fgColor rgb="FF6E5A52"/>
        <bgColor indexed="64"/>
      </patternFill>
    </fill>
    <fill>
      <patternFill patternType="solid">
        <fgColor rgb="FF5E8C6A"/>
        <bgColor indexed="64"/>
      </patternFill>
    </fill>
    <fill>
      <patternFill patternType="solid">
        <fgColor rgb="FFC4607A"/>
        <bgColor indexed="64"/>
      </patternFill>
    </fill>
  </fills>
  <borders count="2">
    <border>
      <left/>
      <right/>
      <top/>
      <bottom/>
      <diagonal/>
    </border>
    <border>
      <left style="thin">
        <color rgb="FFEADFC6"/>
      </left>
      <right style="thin">
        <color rgb="FFEADFC6"/>
      </right>
      <top style="thin">
        <color rgb="FFEADFC6"/>
      </top>
      <bottom style="thin">
        <color rgb="FFEADFC6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16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165" fontId="5" fillId="2" borderId="1" xfId="0" applyNumberFormat="1" applyFont="1" applyFill="1" applyBorder="1" applyAlignment="1">
      <alignment horizontal="center" vertical="center" textRotation="90"/>
    </xf>
    <xf numFmtId="0" fontId="0" fillId="0" borderId="1" xfId="0" applyBorder="1"/>
    <xf numFmtId="0" fontId="4" fillId="0" borderId="0" xfId="0" applyFont="1"/>
    <xf numFmtId="0" fontId="0" fillId="0" borderId="1" xfId="0" applyBorder="1" applyAlignment="1">
      <alignment vertical="center"/>
    </xf>
    <xf numFmtId="0" fontId="6" fillId="4" borderId="1" xfId="0" applyFont="1" applyFill="1" applyBorder="1" applyAlignment="1">
      <alignment vertical="center" wrapText="1"/>
    </xf>
    <xf numFmtId="0" fontId="6" fillId="5" borderId="1" xfId="0" applyFont="1" applyFill="1" applyBorder="1" applyAlignment="1">
      <alignment vertical="center" wrapText="1"/>
    </xf>
    <xf numFmtId="0" fontId="6" fillId="6" borderId="1" xfId="0" applyFont="1" applyFill="1" applyBorder="1" applyAlignment="1">
      <alignment vertical="center" wrapText="1"/>
    </xf>
    <xf numFmtId="0" fontId="6" fillId="7" borderId="1" xfId="0" applyFont="1" applyFill="1" applyBorder="1" applyAlignment="1">
      <alignment vertical="center" wrapText="1"/>
    </xf>
    <xf numFmtId="0" fontId="6" fillId="8" borderId="1" xfId="0" applyFont="1" applyFill="1" applyBorder="1" applyAlignment="1">
      <alignment vertical="center" wrapText="1"/>
    </xf>
    <xf numFmtId="0" fontId="6" fillId="9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center" wrapText="1"/>
    </xf>
  </cellXfs>
  <cellStyles count="1">
    <cellStyle name="Normal" xfId="0" builtinId="0"/>
  </cellStyles>
  <dxfs count="8">
    <dxf>
      <fill>
        <patternFill>
          <bgColor rgb="FF862837"/>
        </patternFill>
      </fill>
    </dxf>
    <dxf>
      <fill>
        <patternFill>
          <bgColor rgb="FF4F86A6"/>
        </patternFill>
      </fill>
    </dxf>
    <dxf>
      <fill>
        <patternFill>
          <bgColor rgb="FFD59A2A"/>
        </patternFill>
      </fill>
    </dxf>
    <dxf>
      <fill>
        <patternFill>
          <bgColor rgb="FF6E5A52"/>
        </patternFill>
      </fill>
    </dxf>
    <dxf>
      <fill>
        <patternFill>
          <bgColor rgb="FF5E8C6A"/>
        </patternFill>
      </fill>
    </dxf>
    <dxf>
      <fill>
        <patternFill>
          <bgColor rgb="FFC4607A"/>
        </patternFill>
      </fill>
    </dxf>
    <dxf>
      <font>
        <b/>
        <color rgb="FFB3261E"/>
      </font>
    </dxf>
    <dxf>
      <font>
        <color rgb="FF3E7D55"/>
      </font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Pr>
    <pageSetUpPr fitToPage="1"/>
  </sheetPr>
  <sheetViews>
    <sheetView workbookViewId="0" showGridLines="0">
      <pane xSplit="3" ySplit="4" topLeftCell="D5" activePane="bottomRight" state="frozen"/>
    </sheetView>
  </sheetViews>
  <sheetFormatPr defaultRowHeight="18" customHeight="1"/>
  <cols>
    <col min="1" max="1" width="5" customWidth="1"/>
    <col min="2" max="2" width="24" customWidth="1"/>
    <col min="3" max="3" width="52" customWidth="1"/>
    <col min="4" max="4" width="22" customWidth="1"/>
    <col min="5" max="5" width="26" customWidth="1"/>
    <col min="6" max="7" width="12" customWidth="1"/>
    <col min="8" max="8" width="7" customWidth="1"/>
    <col min="9" max="9" width="11" customWidth="1"/>
    <col min="10" max="10" width="13" customWidth="1"/>
    <col min="11" max="11" width="7" customWidth="1"/>
    <col min="12" max="12" width="12" customWidth="1"/>
    <col min="13" max="13" width="60" customWidth="1"/>
    <col min="14" max="40" width="3.6" customWidth="1"/>
  </cols>
  <sheetData>
    <row r="1" ht="24" customHeight="1">
      <c r="A1" s="1" t="inlineStr">
        <is>
          <t xml:space="preserve">PECÀN coffee &amp; bakery · План открытия</t>
        </is>
      </c>
    </row>
    <row r="2">
      <c r="A2" s="9" t="inlineStr">
        <is>
          <t xml:space="preserve">Астана, пр. Тұран, 52/4 · ведёт команда PECÀN · состояние на 18 окт 2026 · даты, проценты и ответственных можно менять, полосы справа пересчитаются сами</t>
        </is>
      </c>
    </row>
    <row r="4" ht="48" customHeight="1">
      <c r="A4" s="2" t="inlineStr">
        <is>
          <t xml:space="preserve">№</t>
        </is>
      </c>
      <c r="B4" s="2" t="inlineStr">
        <is>
          <t xml:space="preserve">Этап</t>
        </is>
      </c>
      <c r="C4" s="2" t="inlineStr">
        <is>
          <t xml:space="preserve">Работа</t>
        </is>
      </c>
      <c r="D4" s="2" t="inlineStr">
        <is>
          <t xml:space="preserve">Ответственный</t>
        </is>
      </c>
      <c r="E4" s="2" t="inlineStr">
        <is>
          <t xml:space="preserve">Участвуют</t>
        </is>
      </c>
      <c r="F4" s="2" t="inlineStr">
        <is>
          <t xml:space="preserve">Начало</t>
        </is>
      </c>
      <c r="G4" s="2" t="inlineStr">
        <is>
          <t xml:space="preserve">Окончание</t>
        </is>
      </c>
      <c r="H4" s="2" t="inlineStr">
        <is>
          <t xml:space="preserve">Дней</t>
        </is>
      </c>
      <c r="I4" s="2" t="inlineStr">
        <is>
          <t xml:space="preserve">Выполнено</t>
        </is>
      </c>
      <c r="J4" s="2" t="inlineStr">
        <is>
          <t xml:space="preserve">Статус</t>
        </is>
      </c>
      <c r="K4" s="2" t="inlineStr">
        <is>
          <t xml:space="preserve">Веха</t>
        </is>
      </c>
      <c r="L4" s="2" t="inlineStr">
        <is>
          <t xml:space="preserve">Критический путь</t>
        </is>
      </c>
      <c r="M4" s="2" t="inlineStr">
        <is>
          <t xml:space="preserve">Описание и результат</t>
        </is>
      </c>
      <c r="N4" s="7">
        <v>46279</v>
      </c>
      <c r="O4" s="7">
        <v>46286</v>
      </c>
      <c r="P4" s="7">
        <v>46293</v>
      </c>
      <c r="Q4" s="7">
        <v>46300</v>
      </c>
      <c r="R4" s="7">
        <v>46307</v>
      </c>
      <c r="S4" s="7">
        <v>46314</v>
      </c>
      <c r="T4" s="7">
        <v>46321</v>
      </c>
      <c r="U4" s="7">
        <v>46328</v>
      </c>
      <c r="V4" s="7">
        <v>46335</v>
      </c>
      <c r="W4" s="7">
        <v>46342</v>
      </c>
      <c r="X4" s="7">
        <v>46349</v>
      </c>
      <c r="Y4" s="7">
        <v>46356</v>
      </c>
      <c r="Z4" s="7">
        <v>46363</v>
      </c>
      <c r="AA4" s="7">
        <v>46370</v>
      </c>
      <c r="AB4" s="7">
        <v>46377</v>
      </c>
      <c r="AC4" s="7">
        <v>46384</v>
      </c>
      <c r="AD4" s="7">
        <v>46391</v>
      </c>
      <c r="AE4" s="7">
        <v>46398</v>
      </c>
      <c r="AF4" s="7">
        <v>46405</v>
      </c>
      <c r="AG4" s="7">
        <v>46412</v>
      </c>
      <c r="AH4" s="7">
        <v>46419</v>
      </c>
      <c r="AI4" s="7">
        <v>46426</v>
      </c>
      <c r="AJ4" s="7">
        <v>46433</v>
      </c>
      <c r="AK4" s="7">
        <v>46440</v>
      </c>
      <c r="AL4" s="7">
        <v>46447</v>
      </c>
      <c r="AM4" s="7">
        <v>46454</v>
      </c>
      <c r="AN4" s="7">
        <v>46461</v>
      </c>
    </row>
    <row r="5">
      <c r="A5" s="5">
        <v>1</v>
      </c>
      <c r="B5" s="3" t="inlineStr">
        <is>
          <t xml:space="preserve">Старт проекта</t>
        </is>
      </c>
      <c r="C5" s="3" t="inlineStr">
        <is>
          <t xml:space="preserve">Бриф, обмерный план, айдентика и брендбук переданы</t>
        </is>
      </c>
      <c r="D5" s="3" t="inlineStr">
        <is>
          <t xml:space="preserve">Команда PECÀN</t>
        </is>
      </c>
      <c r="E5" s="3"/>
      <c r="F5" s="4">
        <v>46281</v>
      </c>
      <c r="G5" s="4">
        <v>46282</v>
      </c>
      <c r="H5" s="5">
        <f>G5-F5+1</f>
      </c>
      <c r="I5" s="6">
        <v>1</v>
      </c>
      <c r="J5" s="5" t="str">
        <f>IF(I5&gt;=1,"Готово",IF(G5&lt;TODAY(),"Просрочено",IF(F5&lt;=TODAY(),"В работе","В плане")))</f>
      </c>
      <c r="K5" s="5"/>
      <c r="L5" s="5"/>
      <c r="M5" s="10" t="inlineStr">
        <is>
          <t xml:space="preserve">Передача исходных материалов по проекту: заполненный бриф, обмерный план помещения 120,67 м², айдентика и брендбук. Результат: Все исходные документы лежат в общем чате, по ним можно начинать аналитику и планировку.</t>
        </is>
      </c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</row>
    <row r="6">
      <c r="A6" s="5">
        <v>2</v>
      </c>
      <c r="B6" s="3" t="inlineStr">
        <is>
          <t xml:space="preserve">Старт проекта</t>
        </is>
      </c>
      <c r="C6" s="17" t="inlineStr">
        <is>
          <t xml:space="preserve">Договор подписан</t>
        </is>
      </c>
      <c r="D6" s="3" t="inlineStr">
        <is>
          <t xml:space="preserve">Команда PECÀN</t>
        </is>
      </c>
      <c r="E6" s="3"/>
      <c r="F6" s="4">
        <v>46292</v>
      </c>
      <c r="G6" s="4">
        <v>46292</v>
      </c>
      <c r="H6" s="5">
        <f>G6-F6+1</f>
      </c>
      <c r="I6" s="6">
        <v>1</v>
      </c>
      <c r="J6" s="5" t="str">
        <f>IF(I6&gt;=1,"Готово",IF(G6&lt;TODAY(),"Просрочено",IF(F6&lt;=TODAY(),"В работе","В плане")))</f>
      </c>
      <c r="K6" s="5" t="inlineStr">
        <is>
          <t xml:space="preserve">да</t>
        </is>
      </c>
      <c r="L6" s="5"/>
      <c r="M6" s="10" t="inlineStr">
        <is>
          <t xml:space="preserve">Подписание договора на сопровождение открытия кофейни-пекарни. С этой даты идёт отсчёт всех работ. Результат: Договор подписан обеими сторонами, у каждой стороны свой экземпляр.</t>
        </is>
      </c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</row>
    <row r="7">
      <c r="A7" s="5">
        <v>3</v>
      </c>
      <c r="B7" s="3" t="inlineStr">
        <is>
          <t xml:space="preserve">Старт проекта</t>
        </is>
      </c>
      <c r="C7" s="3" t="inlineStr">
        <is>
          <t xml:space="preserve">Календарный план проекта</t>
        </is>
      </c>
      <c r="D7" s="3" t="inlineStr">
        <is>
          <t xml:space="preserve">Команда PECÀN</t>
        </is>
      </c>
      <c r="E7" s="3"/>
      <c r="F7" s="4">
        <v>46293</v>
      </c>
      <c r="G7" s="4">
        <v>46300</v>
      </c>
      <c r="H7" s="5">
        <f>G7-F7+1</f>
      </c>
      <c r="I7" s="6">
        <v>1</v>
      </c>
      <c r="J7" s="5" t="str">
        <f>IF(I7&gt;=1,"Готово",IF(G7&lt;TODAY(),"Просрочено",IF(F7&lt;=TODAY(),"В работе","В плане")))</f>
      </c>
      <c r="K7" s="5"/>
      <c r="L7" s="5"/>
      <c r="M7" s="10" t="inlineStr">
        <is>
          <t xml:space="preserve">Собираем все работы проекта в один график: что делаем, в какие сроки, кто отвечает, какие даты ключевые. По нему дальше отчитываемся на еженедельных созвонах. Результат: График согласован и закреплён в общем чате, все участники знают свои сроки.</t>
        </is>
      </c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</row>
    <row r="8">
      <c r="A8" s="5">
        <v>4</v>
      </c>
      <c r="B8" s="3" t="inlineStr">
        <is>
          <t xml:space="preserve">Старт проекта</t>
        </is>
      </c>
      <c r="C8" s="3" t="inlineStr">
        <is>
          <t xml:space="preserve">Регистрация ТОО, расчётный счёт, ОКЭД 56101</t>
        </is>
      </c>
      <c r="D8" s="3" t="inlineStr">
        <is>
          <t xml:space="preserve">Команда PECÀN</t>
        </is>
      </c>
      <c r="E8" s="3"/>
      <c r="F8" s="4">
        <v>46314</v>
      </c>
      <c r="G8" s="4">
        <v>46325</v>
      </c>
      <c r="H8" s="5">
        <f>G8-F8+1</f>
      </c>
      <c r="I8" s="6">
        <v>0</v>
      </c>
      <c r="J8" s="5" t="str">
        <f>IF(I8&gt;=1,"Готово",IF(G8&lt;TODAY(),"Просрочено",IF(F8&lt;=TODAY(),"В работе","В плане")))</f>
      </c>
      <c r="K8" s="5"/>
      <c r="L8" s="5"/>
      <c r="M8" s="10" t="inlineStr">
        <is>
          <t xml:space="preserve">Регистрация ТОО на двух учредителей и открытие расчётного счёта. Основной ОКЭД 56101, режим упрощённой декларации выбирается сразу при регистрации. Юрлицо нужно для договоров с подрядчиками, поставщиками, ЖКХ и для импорта оборудования. Результат: ТОО зарегистрировано, счёт открыт, реквизиты переданы в общий чат.</t>
        </is>
      </c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</row>
    <row r="9">
      <c r="A9" s="5">
        <v>5</v>
      </c>
      <c r="B9" s="3" t="inlineStr">
        <is>
          <t xml:space="preserve">Аналитика и стратегия</t>
        </is>
      </c>
      <c r="C9" s="3" t="inlineStr">
        <is>
          <t xml:space="preserve">Анализ конкурентов района Туран</t>
        </is>
      </c>
      <c r="D9" s="3" t="inlineStr">
        <is>
          <t xml:space="preserve">Команда PECÀN</t>
        </is>
      </c>
      <c r="E9" s="3"/>
      <c r="F9" s="4">
        <v>46293</v>
      </c>
      <c r="G9" s="4">
        <v>46304</v>
      </c>
      <c r="H9" s="5">
        <f>G9-F9+1</f>
      </c>
      <c r="I9" s="6">
        <v>1</v>
      </c>
      <c r="J9" s="5" t="str">
        <f>IF(I9&gt;=1,"Готово",IF(G9&lt;TODAY(),"Просрочено",IF(F9&lt;=TODAY(),"В работе","В плане")))</f>
      </c>
      <c r="K9" s="5"/>
      <c r="L9" s="5"/>
      <c r="M9" s="10" t="inlineStr">
        <is>
          <t xml:space="preserve">Обходим и изучаем кофейни и пекарни в радиусе района: меню, цены, средний чек, загрузку по времени, сильные и слабые стороны. Смотрим, чего району не хватает. Результат: Сводная таблица конкурентов и вывод: в чём PECÀN будет отличаться и какой средний чек закладывать.</t>
        </is>
      </c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</row>
    <row r="10">
      <c r="A10" s="5">
        <v>6</v>
      </c>
      <c r="B10" s="3" t="inlineStr">
        <is>
          <t xml:space="preserve">Аналитика и стратегия</t>
        </is>
      </c>
      <c r="C10" s="3" t="inlineStr">
        <is>
          <t xml:space="preserve">Замер трафика у входа и оценка потока гостей</t>
        </is>
      </c>
      <c r="D10" s="3" t="inlineStr">
        <is>
          <t xml:space="preserve">Команда PECÀN</t>
        </is>
      </c>
      <c r="E10" s="3"/>
      <c r="F10" s="4">
        <v>46293</v>
      </c>
      <c r="G10" s="4">
        <v>46305</v>
      </c>
      <c r="H10" s="5">
        <f>G10-F10+1</f>
      </c>
      <c r="I10" s="6">
        <v>1</v>
      </c>
      <c r="J10" s="5" t="str">
        <f>IF(I10&gt;=1,"Готово",IF(G10&lt;TODAY(),"Просрочено",IF(F10&lt;=TODAY(),"В работе","В плане")))</f>
      </c>
      <c r="K10" s="5"/>
      <c r="L10" s="5"/>
      <c r="M10" s="10" t="inlineStr">
        <is>
          <t xml:space="preserve">Провели натурные замеры у входа 3–7 октября: пять сессий в будни и выходные, утро, обед и вечер. Считали пешеходов вдоль фасада и по аллее, автомобили на кольцевом проезде. Данные сверили с расчётной моделью квартала и получили ожидаемое число чеков в день. Результат: Отчёт по замеру трафика и раздел «Локация, трафик и ожидаемый поток гостей» в общем отчёте с анализом конкурентов: поток по дням и часам, расчёт числа чеков.</t>
        </is>
      </c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</row>
    <row r="11">
      <c r="A11" s="5">
        <v>7</v>
      </c>
      <c r="B11" s="3" t="inlineStr">
        <is>
          <t xml:space="preserve">Аналитика и стратегия</t>
        </is>
      </c>
      <c r="C11" s="3" t="inlineStr">
        <is>
          <t xml:space="preserve">Маркетинговая стратегия и ассортиментная матрица</t>
        </is>
      </c>
      <c r="D11" s="3" t="inlineStr">
        <is>
          <t xml:space="preserve">Команда PECÀN</t>
        </is>
      </c>
      <c r="E11" s="3"/>
      <c r="F11" s="4">
        <v>46300</v>
      </c>
      <c r="G11" s="4">
        <v>46313</v>
      </c>
      <c r="H11" s="5">
        <f>G11-F11+1</f>
      </c>
      <c r="I11" s="6">
        <v>1</v>
      </c>
      <c r="J11" s="5" t="str">
        <f>IF(I11&gt;=1,"Готово",IF(G11&lt;TODAY(),"Просрочено",IF(F11&lt;=TODAY(),"В работе","В плане")))</f>
      </c>
      <c r="K11" s="5"/>
      <c r="L11" s="5"/>
      <c r="M11" s="10" t="inlineStr">
        <is>
          <t xml:space="preserve">Формулируем, для кого PECÀN и чем он запоминается, собираем ассортиментную матрицу: категории, ценовые уровни, хиты. Продумываем механики привлечения соседей и программу лояльности. Результат: Документ со стратегией запуска и ассортиментной матрицей, с которой можно идти к шефам за меню.</t>
        </is>
      </c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</row>
    <row r="12">
      <c r="A12" s="5">
        <v>8</v>
      </c>
      <c r="B12" s="3" t="inlineStr">
        <is>
          <t xml:space="preserve">Аналитика и стратегия</t>
        </is>
      </c>
      <c r="C12" s="3" t="inlineStr">
        <is>
          <t xml:space="preserve">Финансовая модель: CAPEX, OPEX, P&amp;L, Cash Flow</t>
        </is>
      </c>
      <c r="D12" s="3" t="inlineStr">
        <is>
          <t xml:space="preserve">Команда PECÀN</t>
        </is>
      </c>
      <c r="E12" s="3"/>
      <c r="F12" s="4">
        <v>46300</v>
      </c>
      <c r="G12" s="4">
        <v>46313</v>
      </c>
      <c r="H12" s="5">
        <f>G12-F12+1</f>
      </c>
      <c r="I12" s="6">
        <v>1</v>
      </c>
      <c r="J12" s="5" t="str">
        <f>IF(I12&gt;=1,"Готово",IF(G12&lt;TODAY(),"Просрочено",IF(F12&lt;=TODAY(),"В работе","В плане")))</f>
      </c>
      <c r="K12" s="5"/>
      <c r="L12" s="5"/>
      <c r="M12" s="10" t="inlineStr">
        <is>
          <t xml:space="preserve">Считаем экономику проекта: сколько нужно вложить (CAPEX), ежемесячные расходы (OPEX), прогноз прибыли и убытков, движение денег по месяцам. Цифры опираются на замер трафика, анализ конкурентов и меню: цену и себестоимость каждой позиции; якорные позиции стоят на уровне сетей, уникальные — по ценности продукта. Результат: Модель в Excel с точкой безубыточности, сроком окупаемости и бюджетом открытия, который укладывается в ваш лимит.</t>
        </is>
      </c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</row>
    <row r="13">
      <c r="A13" s="5">
        <v>9</v>
      </c>
      <c r="B13" s="3" t="inlineStr">
        <is>
          <t xml:space="preserve">Аналитика и стратегия</t>
        </is>
      </c>
      <c r="C13" s="17" t="inlineStr">
        <is>
          <t xml:space="preserve">Защита финмодели и бюджета</t>
        </is>
      </c>
      <c r="D13" s="3" t="inlineStr">
        <is>
          <t xml:space="preserve">Команда PECÀN</t>
        </is>
      </c>
      <c r="E13" s="3"/>
      <c r="F13" s="4">
        <v>46315</v>
      </c>
      <c r="G13" s="4">
        <v>46315</v>
      </c>
      <c r="H13" s="5">
        <f>G13-F13+1</f>
      </c>
      <c r="I13" s="6">
        <v>0</v>
      </c>
      <c r="J13" s="5" t="str">
        <f>IF(I13&gt;=1,"Готово",IF(G13&lt;TODAY(),"Просрочено",IF(F13&lt;=TODAY(),"В работе","В плане")))</f>
      </c>
      <c r="K13" s="5" t="inlineStr">
        <is>
          <t xml:space="preserve">да</t>
        </is>
      </c>
      <c r="L13" s="5"/>
      <c r="M13" s="10" t="inlineStr">
        <is>
          <t xml:space="preserve">Встреча, на которой проходим финансовую модель и бюджет открытия: откуда каждая цифра и где можно сэкономить. Результат: Бюджет открытия утверждён, вопросов по цифрам не осталось.</t>
        </is>
      </c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</row>
    <row r="14">
      <c r="A14" s="5">
        <v>10</v>
      </c>
      <c r="B14" s="3" t="inlineStr">
        <is>
          <t xml:space="preserve">Технологический проект</t>
        </is>
      </c>
      <c r="C14" s="3" t="inlineStr">
        <is>
          <t xml:space="preserve">Технологическое зонирование: варианты планировки</t>
        </is>
      </c>
      <c r="D14" s="3" t="inlineStr">
        <is>
          <t xml:space="preserve">Команда PECÀN</t>
        </is>
      </c>
      <c r="E14" s="3"/>
      <c r="F14" s="4">
        <v>46293</v>
      </c>
      <c r="G14" s="4">
        <v>46304</v>
      </c>
      <c r="H14" s="5">
        <f>G14-F14+1</f>
      </c>
      <c r="I14" s="6">
        <v>1</v>
      </c>
      <c r="J14" s="5" t="str">
        <f>IF(I14&gt;=1,"Готово",IF(G14&lt;TODAY(),"Просрочено",IF(F14&lt;=TODAY(),"В работе","В плане")))</f>
      </c>
      <c r="K14" s="5"/>
      <c r="L14" s="5" t="inlineStr">
        <is>
          <t xml:space="preserve">да</t>
        </is>
      </c>
      <c r="M14" s="10" t="inlineStr">
        <is>
          <t xml:space="preserve">Раскладываем 120 м² на зоны: зал на 31 место, бар с витриной, пекарня, заготовочная, мойка, склад, санузлы. Готовим несколько вариантов и проверяем, чтобы потоки гостей, продуктов и грязной посуды не пересекались. Оцениваем антресоль при высоте потолка 4,52 м. Результат: Два–три варианта планировки с плюсами и минусами каждого, готовые к выбору.</t>
        </is>
      </c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</row>
    <row r="15">
      <c r="A15" s="5">
        <v>11</v>
      </c>
      <c r="B15" s="3" t="inlineStr">
        <is>
          <t xml:space="preserve">Технологический проект</t>
        </is>
      </c>
      <c r="C15" s="3" t="inlineStr">
        <is>
          <t xml:space="preserve">Проект ТХ: комплект чертежей по СанПиН и ХАССП</t>
        </is>
      </c>
      <c r="D15" s="3" t="inlineStr">
        <is>
          <t xml:space="preserve">Команда PECÀN</t>
        </is>
      </c>
      <c r="E15" s="3"/>
      <c r="F15" s="4">
        <v>46307</v>
      </c>
      <c r="G15" s="4">
        <v>46325</v>
      </c>
      <c r="H15" s="5">
        <f>G15-F15+1</f>
      </c>
      <c r="I15" s="6">
        <v>0</v>
      </c>
      <c r="J15" s="5" t="str">
        <f>IF(I15&gt;=1,"Готово",IF(G15&lt;TODAY(),"Просрочено",IF(F15&lt;=TODAY(),"В работе","В плане")))</f>
      </c>
      <c r="K15" s="5"/>
      <c r="L15" s="5" t="inlineStr">
        <is>
          <t xml:space="preserve">да</t>
        </is>
      </c>
      <c r="M15" s="10" t="inlineStr">
        <is>
          <t xml:space="preserve">Технологический проект: чертежи с расстановкой всего оборудования и привязкой к коммуникациям, по нормам СанПиН и ХАССП. Это основной документ для строителей и для закупки оборудования. Результат: Комплект чертежей раздела ТХ, по которому можно строить и заказывать оборудование.</t>
        </is>
      </c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</row>
    <row r="16">
      <c r="A16" s="5">
        <v>12</v>
      </c>
      <c r="B16" s="3" t="inlineStr">
        <is>
          <t xml:space="preserve">Технологический проект</t>
        </is>
      </c>
      <c r="C16" s="17" t="inlineStr">
        <is>
          <t xml:space="preserve">Зонирование согласовано</t>
        </is>
      </c>
      <c r="D16" s="3" t="inlineStr">
        <is>
          <t xml:space="preserve">Команда PECÀN</t>
        </is>
      </c>
      <c r="E16" s="3"/>
      <c r="F16" s="4">
        <v>46313</v>
      </c>
      <c r="G16" s="4">
        <v>46313</v>
      </c>
      <c r="H16" s="5">
        <f>G16-F16+1</f>
      </c>
      <c r="I16" s="6">
        <v>1</v>
      </c>
      <c r="J16" s="5" t="str">
        <f>IF(I16&gt;=1,"Готово",IF(G16&lt;TODAY(),"Просрочено",IF(F16&lt;=TODAY(),"В работе","В плане")))</f>
      </c>
      <c r="K16" s="5" t="inlineStr">
        <is>
          <t xml:space="preserve">да</t>
        </is>
      </c>
      <c r="L16" s="5" t="inlineStr">
        <is>
          <t xml:space="preserve">да</t>
        </is>
      </c>
      <c r="M16" s="10" t="inlineStr">
        <is>
          <t xml:space="preserve">Выбор одного варианта планировки из предложенных. От него зависят проект ТХ, дизайн и работа строителей. Результат: Проект зонирования подтверждён: планировка, перегородки и двери, мебель и оборудование, антресоль, потоки. Дальше работаем только по нему.</t>
        </is>
      </c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</row>
    <row r="17">
      <c r="A17" s="5">
        <v>13</v>
      </c>
      <c r="B17" s="3" t="inlineStr">
        <is>
          <t xml:space="preserve">Технологический проект</t>
        </is>
      </c>
      <c r="C17" s="3" t="inlineStr">
        <is>
          <t xml:space="preserve">Задание на инженерные сети: точки подключения и нагрузки оборудования</t>
        </is>
      </c>
      <c r="D17" s="3" t="inlineStr">
        <is>
          <t xml:space="preserve">Команда PECÀN</t>
        </is>
      </c>
      <c r="E17" s="3"/>
      <c r="F17" s="4">
        <v>46314</v>
      </c>
      <c r="G17" s="4">
        <v>46325</v>
      </c>
      <c r="H17" s="5">
        <f>G17-F17+1</f>
      </c>
      <c r="I17" s="6">
        <v>0</v>
      </c>
      <c r="J17" s="5" t="str">
        <f>IF(I17&gt;=1,"Готово",IF(G17&lt;TODAY(),"Просрочено",IF(F17&lt;=TODAY(),"В работе","В плане")))</f>
      </c>
      <c r="K17" s="5"/>
      <c r="L17" s="5"/>
      <c r="M17" s="10" t="inlineStr">
        <is>
          <t xml:space="preserve">Команда PECÀN описывает, что нужно оборудованию: где какая розетка и какой мощности, включая 380 В для печей, где подвести воду и канализацию, где поставить трапы, какая вытяжка нужна над печами и плитой. Это задание для инженеров бригады: сами схемы и расчёты кабелей, труб и воздуховодов делают они. Результат: Задание по электрике, воде, канализации и вентиляции, по которому бригада делает рабочие схемы и считает смету.</t>
        </is>
      </c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</row>
    <row r="18">
      <c r="A18" s="5">
        <v>14</v>
      </c>
      <c r="B18" s="3" t="inlineStr">
        <is>
          <t xml:space="preserve">Технологический проект</t>
        </is>
      </c>
      <c r="C18" s="17" t="inlineStr">
        <is>
          <t xml:space="preserve">Раздел ТХ и задание на инженерные сети сданы</t>
        </is>
      </c>
      <c r="D18" s="3" t="inlineStr">
        <is>
          <t xml:space="preserve">Команда PECÀN</t>
        </is>
      </c>
      <c r="E18" s="3"/>
      <c r="F18" s="4">
        <v>46328</v>
      </c>
      <c r="G18" s="4">
        <v>46328</v>
      </c>
      <c r="H18" s="5">
        <f>G18-F18+1</f>
      </c>
      <c r="I18" s="6">
        <v>0</v>
      </c>
      <c r="J18" s="5" t="str">
        <f>IF(I18&gt;=1,"Готово",IF(G18&lt;TODAY(),"Просрочено",IF(F18&lt;=TODAY(),"В работе","В плане")))</f>
      </c>
      <c r="K18" s="5" t="inlineStr">
        <is>
          <t xml:space="preserve">да</t>
        </is>
      </c>
      <c r="L18" s="5"/>
      <c r="M18" s="10" t="inlineStr">
        <is>
          <t xml:space="preserve">Передача готового раздела ТХ и задания на инженерные сети. С этого момента строители могут выходить на объект и делать рабочие схемы. Результат: Чертежи и задание переданы, замечаний нет.</t>
        </is>
      </c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</row>
    <row r="19">
      <c r="A19" s="5">
        <v>15</v>
      </c>
      <c r="B19" s="3" t="inlineStr">
        <is>
          <t xml:space="preserve">Дизайн-проект</t>
        </is>
      </c>
      <c r="C19" s="3" t="inlineStr">
        <is>
          <t xml:space="preserve">Концепция интерьера и планировочное решение</t>
        </is>
      </c>
      <c r="D19" s="3" t="inlineStr">
        <is>
          <t xml:space="preserve">Команда PECÀN</t>
        </is>
      </c>
      <c r="E19" s="3"/>
      <c r="F19" s="4">
        <v>46314</v>
      </c>
      <c r="G19" s="4">
        <v>46325</v>
      </c>
      <c r="H19" s="5">
        <f>G19-F19+1</f>
      </c>
      <c r="I19" s="6">
        <v>0.6</v>
      </c>
      <c r="J19" s="5" t="str">
        <f>IF(I19&gt;=1,"Готово",IF(G19&lt;TODAY(),"Просрочено",IF(F19&lt;=TODAY(),"В работе","В плане")))</f>
      </c>
      <c r="K19" s="5"/>
      <c r="L19" s="5" t="inlineStr">
        <is>
          <t xml:space="preserve">да</t>
        </is>
      </c>
      <c r="M19" s="10" t="inlineStr">
        <is>
          <t xml:space="preserve">Команда PECÀN разрабатывает образ интерьера: настроение, материалы, цвета, свет, расстановку мебели — по брендбуку, референсам и утверждённому зонированию. Варианты концепции подготовлены, выбираем один. Результат: Концепция и планировочное решение согласованы, можно делать визуализации.</t>
        </is>
      </c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</row>
    <row r="20">
      <c r="A20" s="5">
        <v>16</v>
      </c>
      <c r="B20" s="3" t="inlineStr">
        <is>
          <t xml:space="preserve">Дизайн-проект</t>
        </is>
      </c>
      <c r="C20" s="3" t="inlineStr">
        <is>
          <t xml:space="preserve">Подбор подрядчиков на точечные услуги по дизайну</t>
        </is>
      </c>
      <c r="D20" s="3" t="inlineStr">
        <is>
          <t xml:space="preserve">Команда PECÀN</t>
        </is>
      </c>
      <c r="E20" s="3"/>
      <c r="F20" s="4">
        <v>46314</v>
      </c>
      <c r="G20" s="4">
        <v>46325</v>
      </c>
      <c r="H20" s="5">
        <f>G20-F20+1</f>
      </c>
      <c r="I20" s="6">
        <v>0</v>
      </c>
      <c r="J20" s="5" t="str">
        <f>IF(I20&gt;=1,"Готово",IF(G20&lt;TODAY(),"Просрочено",IF(F20&lt;=TODAY(),"В работе","В плане")))</f>
      </c>
      <c r="K20" s="5"/>
      <c r="L20" s="5" t="inlineStr">
        <is>
          <t xml:space="preserve">да</t>
        </is>
      </c>
      <c r="M20" s="10" t="inlineStr">
        <is>
          <t xml:space="preserve">Концепцию интерьера и 3D-визуализации команда PECÀN делает сама. Подрядчиков привлекаем точечно — там, где нужна отдельная специализация: рабочие чертежи и ведомости для строителей, план освещения и розеток, эскиз вывески, авторский надзор. По каждой услуге запрашиваем предложения у двух–трёх исполнителей с опытом в кофейнях и пекарнях. Результат: Исполнители по каждой услуге выбраны, сроки и стоимость сравнены.</t>
        </is>
      </c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</row>
    <row r="21">
      <c r="A21" s="5">
        <v>17</v>
      </c>
      <c r="B21" s="3" t="inlineStr">
        <is>
          <t xml:space="preserve">Дизайн-проект</t>
        </is>
      </c>
      <c r="C21" s="3" t="inlineStr">
        <is>
          <t xml:space="preserve">3D-визуализации интерьера</t>
        </is>
      </c>
      <c r="D21" s="3" t="inlineStr">
        <is>
          <t xml:space="preserve">Команда PECÀN</t>
        </is>
      </c>
      <c r="E21" s="3"/>
      <c r="F21" s="4">
        <v>46321</v>
      </c>
      <c r="G21" s="4">
        <v>46332</v>
      </c>
      <c r="H21" s="5">
        <f>G21-F21+1</f>
      </c>
      <c r="I21" s="6">
        <v>0.3</v>
      </c>
      <c r="J21" s="5" t="str">
        <f>IF(I21&gt;=1,"Готово",IF(G21&lt;TODAY(),"Просрочено",IF(F21&lt;=TODAY(),"В работе","В плане")))</f>
      </c>
      <c r="K21" s="5"/>
      <c r="L21" s="5" t="inlineStr">
        <is>
          <t xml:space="preserve">да</t>
        </is>
      </c>
      <c r="M21" s="10" t="inlineStr">
        <is>
          <t xml:space="preserve">Реалистичные картинки будущего интерьера с основных ракурсов: вход, бар и витрина, зал, санузел. Сцена строится по геометрии проекта зонирования; для части вариантов концепции визуализации уже есть, для выбранного варианта делаем полный набор. Результат: Визуализации согласованы: вы видите, как будет выглядеть кофейня, и вам это нравится.</t>
        </is>
      </c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</row>
    <row r="22">
      <c r="A22" s="5">
        <v>18</v>
      </c>
      <c r="B22" s="3" t="inlineStr">
        <is>
          <t xml:space="preserve">Дизайн-проект</t>
        </is>
      </c>
      <c r="C22" s="17" t="inlineStr">
        <is>
          <t xml:space="preserve">Договоры на услуги по дизайну подписаны</t>
        </is>
      </c>
      <c r="D22" s="3" t="inlineStr">
        <is>
          <t xml:space="preserve">Команда PECÀN</t>
        </is>
      </c>
      <c r="E22" s="3"/>
      <c r="F22" s="4">
        <v>46325</v>
      </c>
      <c r="G22" s="4">
        <v>46325</v>
      </c>
      <c r="H22" s="5">
        <f>G22-F22+1</f>
      </c>
      <c r="I22" s="6">
        <v>0</v>
      </c>
      <c r="J22" s="5" t="str">
        <f>IF(I22&gt;=1,"Готово",IF(G22&lt;TODAY(),"Просрочено",IF(F22&lt;=TODAY(),"В работе","В плане")))</f>
      </c>
      <c r="K22" s="5" t="inlineStr">
        <is>
          <t xml:space="preserve">да</t>
        </is>
      </c>
      <c r="L22" s="5" t="inlineStr">
        <is>
          <t xml:space="preserve">да</t>
        </is>
      </c>
      <c r="M22" s="10" t="inlineStr">
        <is>
          <t xml:space="preserve">Договоры с выбранными исполнителями: рабочая документация, свет и розетки, вывеска, авторский надзор. В договорах фиксируются даты сдачи и оплата по этапам. Результат: Договоры подписаны, исполнители получили проект зонирования, концепцию интерьера и брендбук и приступили к работе.</t>
        </is>
      </c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</row>
    <row r="23">
      <c r="A23" s="5">
        <v>19</v>
      </c>
      <c r="B23" s="3" t="inlineStr">
        <is>
          <t xml:space="preserve">Дизайн-проект</t>
        </is>
      </c>
      <c r="C23" s="3" t="inlineStr">
        <is>
          <t xml:space="preserve">Сверка визуализаций с технологическим зонированием</t>
        </is>
      </c>
      <c r="D23" s="3" t="inlineStr">
        <is>
          <t xml:space="preserve">Команда PECÀN</t>
        </is>
      </c>
      <c r="E23" s="3"/>
      <c r="F23" s="4">
        <v>46328</v>
      </c>
      <c r="G23" s="4">
        <v>46332</v>
      </c>
      <c r="H23" s="5">
        <f>G23-F23+1</f>
      </c>
      <c r="I23" s="6">
        <v>0</v>
      </c>
      <c r="J23" s="5" t="str">
        <f>IF(I23&gt;=1,"Готово",IF(G23&lt;TODAY(),"Просрочено",IF(F23&lt;=TODAY(),"В работе","В плане")))</f>
      </c>
      <c r="K23" s="5"/>
      <c r="L23" s="5"/>
      <c r="M23" s="10" t="inlineStr">
        <is>
          <t xml:space="preserve">Проверяем, что красивый интерьер не ломает рабочие процессы: хватает ли места бариста, проходит ли поток гостей, помещается ли оборудование. Результат: Список правок либо подтверждение, что расхождений с ТХ нет.</t>
        </is>
      </c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</row>
    <row r="24">
      <c r="A24" s="5">
        <v>20</v>
      </c>
      <c r="B24" s="3" t="inlineStr">
        <is>
          <t xml:space="preserve">Дизайн-проект</t>
        </is>
      </c>
      <c r="C24" s="3" t="inlineStr">
        <is>
          <t xml:space="preserve">Рабочая документация: чертежи, ведомости, смета</t>
        </is>
      </c>
      <c r="D24" s="3" t="inlineStr">
        <is>
          <t xml:space="preserve">Подрядчики по дизайну</t>
        </is>
      </c>
      <c r="E24" s="3"/>
      <c r="F24" s="4">
        <v>46328</v>
      </c>
      <c r="G24" s="4">
        <v>46346</v>
      </c>
      <c r="H24" s="5">
        <f>G24-F24+1</f>
      </c>
      <c r="I24" s="6">
        <v>0</v>
      </c>
      <c r="J24" s="5" t="str">
        <f>IF(I24&gt;=1,"Готово",IF(G24&lt;TODAY(),"Просрочено",IF(F24&lt;=TODAY(),"В работе","В плане")))</f>
      </c>
      <c r="K24" s="5"/>
      <c r="L24" s="5" t="inlineStr">
        <is>
          <t xml:space="preserve">да</t>
        </is>
      </c>
      <c r="M24" s="10" t="inlineStr">
        <is>
          <t xml:space="preserve">Рабочие чертежи для строителей, план освещения, план розеток и выключателей в зале, ведомости отделки, мебели и освещения, проектная смета. Выполняет подрядчик по выбранной концепции команды PECÀN. Срок сжатый: три недели от договора до полного комплекта. Результат: Полный комплект документации, по которому строители работают без вопросов, а мы собираем закупочные спецификации. Как снижаем риск: В договоре с подрядчиком закрепить дату сдачи рабочей документации — 20 ноября, оплата по этапам.; Выбирать исполнителя с готовой командой чертёжников. Спросить о текущей загрузке.; В первый день передать проект зонирования, выбранную концепцию интерьера и брендбук.; Ведомости мебели, света и отделки получить первыми, к 13 ноября: они нужны для поездки в Китай.; Согласовывать материалы за 1–2 дня, а не за 3.; Строители выходят 2 ноября по проекту ТХ и не ждут дизайн.</t>
        </is>
      </c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</row>
    <row r="25">
      <c r="A25" s="5">
        <v>21</v>
      </c>
      <c r="B25" s="3" t="inlineStr">
        <is>
          <t xml:space="preserve">Дизайн-проект</t>
        </is>
      </c>
      <c r="C25" s="3" t="inlineStr">
        <is>
          <t xml:space="preserve">Авторский надзор дизайнера: выезды на объект, контроль отделки</t>
        </is>
      </c>
      <c r="D25" s="3" t="inlineStr">
        <is>
          <t xml:space="preserve">Подрядчики по дизайну</t>
        </is>
      </c>
      <c r="E25" s="3" t="inlineStr">
        <is>
          <t xml:space="preserve">Строители</t>
        </is>
      </c>
      <c r="F25" s="4">
        <v>46328</v>
      </c>
      <c r="G25" s="4">
        <v>46427</v>
      </c>
      <c r="H25" s="5">
        <f>G25-F25+1</f>
      </c>
      <c r="I25" s="6">
        <v>0</v>
      </c>
      <c r="J25" s="5" t="str">
        <f>IF(I25&gt;=1,"Готово",IF(G25&lt;TODAY(),"Просрочено",IF(F25&lt;=TODAY(),"В работе","В плане")))</f>
      </c>
      <c r="K25" s="5"/>
      <c r="L25" s="5"/>
      <c r="M25" s="10" t="inlineStr">
        <is>
          <t xml:space="preserve">Дизайнер регулярно приезжает на объект, пока идут отделка и монтаж: проверяет соответствие проекту, согласует замены материалов, отвечает на вопросы бригады. Входит в договор с подрядчиком. Результат: Интерьер построен так, как на визуализациях, отступления от проекта согласованы заранее.</t>
        </is>
      </c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</row>
    <row r="26">
      <c r="A26" s="5">
        <v>22</v>
      </c>
      <c r="B26" s="3" t="inlineStr">
        <is>
          <t xml:space="preserve">Дизайн-проект</t>
        </is>
      </c>
      <c r="C26" s="3" t="inlineStr">
        <is>
          <t xml:space="preserve">Вывеска: эскиз, согласование, изготовление, монтаж</t>
        </is>
      </c>
      <c r="D26" s="3" t="inlineStr">
        <is>
          <t xml:space="preserve">Команда PECÀN</t>
        </is>
      </c>
      <c r="E26" s="3" t="inlineStr">
        <is>
          <t xml:space="preserve">Подрядчики по дизайну</t>
        </is>
      </c>
      <c r="F26" s="4">
        <v>46335</v>
      </c>
      <c r="G26" s="4">
        <v>46409</v>
      </c>
      <c r="H26" s="5">
        <f>G26-F26+1</f>
      </c>
      <c r="I26" s="6">
        <v>0</v>
      </c>
      <c r="J26" s="5" t="str">
        <f>IF(I26&gt;=1,"Готово",IF(G26&lt;TODAY(),"Просрочено",IF(F26&lt;=TODAY(),"В работе","В плане")))</f>
      </c>
      <c r="K26" s="5"/>
      <c r="L26" s="5"/>
      <c r="M26" s="10" t="inlineStr">
        <is>
          <t xml:space="preserve">Фасадная вывеска по брендбуку: эскиз, согласование размещения, изготовление и монтаж. Результат: Вывеска висит на фасаде и подсвечивается, размещение согласовано.</t>
        </is>
      </c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</row>
    <row r="27">
      <c r="A27" s="5">
        <v>23</v>
      </c>
      <c r="B27" s="3" t="inlineStr">
        <is>
          <t xml:space="preserve">Дизайн-проект</t>
        </is>
      </c>
      <c r="C27" s="17" t="inlineStr">
        <is>
          <t xml:space="preserve">Дизайн-проект готов полностью</t>
        </is>
      </c>
      <c r="D27" s="3" t="inlineStr">
        <is>
          <t xml:space="preserve">Команда PECÀN</t>
        </is>
      </c>
      <c r="E27" s="3"/>
      <c r="F27" s="4">
        <v>46346</v>
      </c>
      <c r="G27" s="4">
        <v>46346</v>
      </c>
      <c r="H27" s="5">
        <f>G27-F27+1</f>
      </c>
      <c r="I27" s="6">
        <v>0</v>
      </c>
      <c r="J27" s="5" t="str">
        <f>IF(I27&gt;=1,"Готово",IF(G27&lt;TODAY(),"Просрочено",IF(F27&lt;=TODAY(),"В работе","В плане")))</f>
      </c>
      <c r="K27" s="5" t="inlineStr">
        <is>
          <t xml:space="preserve">да</t>
        </is>
      </c>
      <c r="L27" s="5" t="inlineStr">
        <is>
          <t xml:space="preserve">да</t>
        </is>
      </c>
      <c r="M27" s="10" t="inlineStr">
        <is>
          <t xml:space="preserve">Сдача всего дизайн-проекта: концепция, визуализации, рабочая документация. Он должен быть готов до поездки в Китай, потому что по нему закупаются мебель и свет. Результат: Проект принят целиком, правок не осталось.</t>
        </is>
      </c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</row>
    <row r="28">
      <c r="A28" s="5">
        <v>24</v>
      </c>
      <c r="B28" s="3" t="inlineStr">
        <is>
          <t xml:space="preserve">Дизайн-проект</t>
        </is>
      </c>
      <c r="C28" s="17" t="inlineStr">
        <is>
          <t xml:space="preserve">Интерьер принят дизайнером по проекту</t>
        </is>
      </c>
      <c r="D28" s="3" t="inlineStr">
        <is>
          <t xml:space="preserve">Подрядчики по дизайну</t>
        </is>
      </c>
      <c r="E28" s="3"/>
      <c r="F28" s="4">
        <v>46427</v>
      </c>
      <c r="G28" s="4">
        <v>46427</v>
      </c>
      <c r="H28" s="5">
        <f>G28-F28+1</f>
      </c>
      <c r="I28" s="6">
        <v>0</v>
      </c>
      <c r="J28" s="5" t="str">
        <f>IF(I28&gt;=1,"Готово",IF(G28&lt;TODAY(),"Просрочено",IF(F28&lt;=TODAY(),"В работе","В плане")))</f>
      </c>
      <c r="K28" s="5" t="inlineStr">
        <is>
          <t xml:space="preserve">да</t>
        </is>
      </c>
      <c r="L28" s="5"/>
      <c r="M28" s="10" t="inlineStr">
        <is>
          <t xml:space="preserve">Финальный обход помещения с дизайнером после расстановки мебели и декора. Результат: Дизайнер подтверждает, что интерьер соответствует проекту, список мелких доделок закрыт.</t>
        </is>
      </c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</row>
    <row r="29">
      <c r="A29" s="5">
        <v>25</v>
      </c>
      <c r="B29" s="3" t="inlineStr">
        <is>
          <t xml:space="preserve">Строительство и отделка</t>
        </is>
      </c>
      <c r="C29" s="3" t="inlineStr">
        <is>
          <t xml:space="preserve">Поиск строительной бригады: кандидаты, объекты, отзывы</t>
        </is>
      </c>
      <c r="D29" s="3" t="inlineStr">
        <is>
          <t xml:space="preserve">Команда PECÀN</t>
        </is>
      </c>
      <c r="E29" s="3"/>
      <c r="F29" s="4">
        <v>46300</v>
      </c>
      <c r="G29" s="4">
        <v>46316</v>
      </c>
      <c r="H29" s="5">
        <f>G29-F29+1</f>
      </c>
      <c r="I29" s="6">
        <v>0</v>
      </c>
      <c r="J29" s="5" t="str">
        <f>IF(I29&gt;=1,"Готово",IF(G29&lt;TODAY(),"Просрочено",IF(F29&lt;=TODAY(),"В работе","В плане")))</f>
      </c>
      <c r="K29" s="5"/>
      <c r="L29" s="5" t="inlineStr">
        <is>
          <t xml:space="preserve">да</t>
        </is>
      </c>
      <c r="M29" s="10" t="inlineStr">
        <is>
          <t xml:space="preserve">Ищем строительную бригаду с нуля. Отбираем тех, кто уже делал заведения общепита: электрика 380 В, вентиляция, мокрые зоны. Обязательное условие: у бригады есть свой инженер, который делает рабочие схемы сетей с расчётами. Выезжаем на сданные объекты и звоним прошлым клиентам. Результат: Три–четыре проверенные бригады, готовые дать смету.</t>
        </is>
      </c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</row>
    <row r="30">
      <c r="A30" s="5">
        <v>26</v>
      </c>
      <c r="B30" s="3" t="inlineStr">
        <is>
          <t xml:space="preserve">Строительство и отделка</t>
        </is>
      </c>
      <c r="C30" s="3" t="inlineStr">
        <is>
          <t xml:space="preserve">Сметы от бригад и сравнение предложений</t>
        </is>
      </c>
      <c r="D30" s="3" t="inlineStr">
        <is>
          <t xml:space="preserve">Команда PECÀN</t>
        </is>
      </c>
      <c r="E30" s="3"/>
      <c r="F30" s="4">
        <v>46317</v>
      </c>
      <c r="G30" s="4">
        <v>46323</v>
      </c>
      <c r="H30" s="5">
        <f>G30-F30+1</f>
      </c>
      <c r="I30" s="6">
        <v>0</v>
      </c>
      <c r="J30" s="5" t="str">
        <f>IF(I30&gt;=1,"Готово",IF(G30&lt;TODAY(),"Просрочено",IF(F30&lt;=TODAY(),"В работе","В плане")))</f>
      </c>
      <c r="K30" s="5"/>
      <c r="L30" s="5" t="inlineStr">
        <is>
          <t xml:space="preserve">да</t>
        </is>
      </c>
      <c r="M30" s="10" t="inlineStr">
        <is>
          <t xml:space="preserve">Бригады считают сметы по нашему зонированию и заданию на инженерные сети. Сравниваем цены, сроки, условия оплаты и гарантии, проверяем, что в сметах нет завышенных объёмов. Результат: Сравнительная таблица смет и рекомендация, какую бригаду брать.</t>
        </is>
      </c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</row>
    <row r="31">
      <c r="A31" s="5">
        <v>27</v>
      </c>
      <c r="B31" s="3" t="inlineStr">
        <is>
          <t xml:space="preserve">Строительство и отделка</t>
        </is>
      </c>
      <c r="C31" s="17" t="inlineStr">
        <is>
          <t xml:space="preserve">Договор подряда подписан</t>
        </is>
      </c>
      <c r="D31" s="3" t="inlineStr">
        <is>
          <t xml:space="preserve">Команда PECÀN</t>
        </is>
      </c>
      <c r="E31" s="3" t="inlineStr">
        <is>
          <t xml:space="preserve">Строители</t>
        </is>
      </c>
      <c r="F31" s="4">
        <v>46325</v>
      </c>
      <c r="G31" s="4">
        <v>46325</v>
      </c>
      <c r="H31" s="5">
        <f>G31-F31+1</f>
      </c>
      <c r="I31" s="6">
        <v>0</v>
      </c>
      <c r="J31" s="5" t="str">
        <f>IF(I31&gt;=1,"Готово",IF(G31&lt;TODAY(),"Просрочено",IF(F31&lt;=TODAY(),"В работе","В плане")))</f>
      </c>
      <c r="K31" s="5" t="inlineStr">
        <is>
          <t xml:space="preserve">да</t>
        </is>
      </c>
      <c r="L31" s="5" t="inlineStr">
        <is>
          <t xml:space="preserve">да</t>
        </is>
      </c>
      <c r="M31" s="10" t="inlineStr">
        <is>
          <t xml:space="preserve">Подписание договора подряда с выбранной бригадой. В договоре: сроки по этому графику, поэтапная оплата, закупка материалов по проектной смете. Результат: Договор подписан, бригада подтверждает выход на объект 2 ноября.</t>
        </is>
      </c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</row>
    <row r="32">
      <c r="A32" s="5">
        <v>28</v>
      </c>
      <c r="B32" s="3" t="inlineStr">
        <is>
          <t xml:space="preserve">Строительство и отделка</t>
        </is>
      </c>
      <c r="C32" s="17" t="inlineStr">
        <is>
          <t xml:space="preserve">Строители вышли на объект</t>
        </is>
      </c>
      <c r="D32" s="3" t="inlineStr">
        <is>
          <t xml:space="preserve">Строители</t>
        </is>
      </c>
      <c r="E32" s="3"/>
      <c r="F32" s="4">
        <v>46328</v>
      </c>
      <c r="G32" s="4">
        <v>46328</v>
      </c>
      <c r="H32" s="5">
        <f>G32-F32+1</f>
      </c>
      <c r="I32" s="6">
        <v>0</v>
      </c>
      <c r="J32" s="5" t="str">
        <f>IF(I32&gt;=1,"Готово",IF(G32&lt;TODAY(),"Просрочено",IF(F32&lt;=TODAY(),"В работе","В плане")))</f>
      </c>
      <c r="K32" s="5" t="inlineStr">
        <is>
          <t xml:space="preserve">да</t>
        </is>
      </c>
      <c r="L32" s="5"/>
      <c r="M32" s="10" t="inlineStr">
        <is>
          <t xml:space="preserve">Начало ремонта: бригада заходит на объект с материалами и инструментом. Результат: Работы на объекте начаты в срок.</t>
        </is>
      </c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</row>
    <row r="33">
      <c r="A33" s="5">
        <v>29</v>
      </c>
      <c r="B33" s="3" t="inlineStr">
        <is>
          <t xml:space="preserve">Строительство и отделка</t>
        </is>
      </c>
      <c r="C33" s="3" t="inlineStr">
        <is>
          <t xml:space="preserve">Рабочие схемы электрики, воды и вентиляции с расчётами</t>
        </is>
      </c>
      <c r="D33" s="3" t="inlineStr">
        <is>
          <t xml:space="preserve">Строители</t>
        </is>
      </c>
      <c r="E33" s="3" t="inlineStr">
        <is>
          <t xml:space="preserve">Команда PECÀN: проверка</t>
        </is>
      </c>
      <c r="F33" s="4">
        <v>46328</v>
      </c>
      <c r="G33" s="4">
        <v>46332</v>
      </c>
      <c r="H33" s="5">
        <f>G33-F33+1</f>
      </c>
      <c r="I33" s="6">
        <v>0</v>
      </c>
      <c r="J33" s="5" t="str">
        <f>IF(I33&gt;=1,"Готово",IF(G33&lt;TODAY(),"Просрочено",IF(F33&lt;=TODAY(),"В работе","В плане")))</f>
      </c>
      <c r="K33" s="5"/>
      <c r="L33" s="5"/>
      <c r="M33" s="10" t="inlineStr">
        <is>
          <t xml:space="preserve">Инженер бригады по нашему заданию делает рабочие схемы: щит и автоматы, сечения кабелей, трассы труб, диаметры, воздуховоды и подбор вентиляторов. Розетки и свет в зале берёт из дизайн-проекта. Схемы готовы до начала прокладки сетей. Результат: Схемы электрики, водоснабжения, канализации и вентиляции проверены командой PECÀN, по ним уточнена смета.</t>
        </is>
      </c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</row>
    <row r="34">
      <c r="A34" s="5">
        <v>30</v>
      </c>
      <c r="B34" s="3" t="inlineStr">
        <is>
          <t xml:space="preserve">Строительство и отделка</t>
        </is>
      </c>
      <c r="C34" s="3" t="inlineStr">
        <is>
          <t xml:space="preserve">Черновые работы и перегородки</t>
        </is>
      </c>
      <c r="D34" s="3" t="inlineStr">
        <is>
          <t xml:space="preserve">Строители</t>
        </is>
      </c>
      <c r="E34" s="3"/>
      <c r="F34" s="4">
        <v>46328</v>
      </c>
      <c r="G34" s="4">
        <v>46346</v>
      </c>
      <c r="H34" s="5">
        <f>G34-F34+1</f>
      </c>
      <c r="I34" s="6">
        <v>0</v>
      </c>
      <c r="J34" s="5" t="str">
        <f>IF(I34&gt;=1,"Готово",IF(G34&lt;TODAY(),"Просрочено",IF(F34&lt;=TODAY(),"В работе","В плане")))</f>
      </c>
      <c r="K34" s="5"/>
      <c r="L34" s="5"/>
      <c r="M34" s="10" t="inlineStr">
        <is>
          <t xml:space="preserve">Разметка помещения по проекту, возведение перегородок, подготовка стен и пола под инженерные сети. Результат: Помещение разделено на зоны по планировке, перегородки стоят.</t>
        </is>
      </c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</row>
    <row r="35">
      <c r="A35" s="5">
        <v>31</v>
      </c>
      <c r="B35" s="3" t="inlineStr">
        <is>
          <t xml:space="preserve">Строительство и отделка</t>
        </is>
      </c>
      <c r="C35" s="3" t="inlineStr">
        <is>
          <t xml:space="preserve">Электрика, вода, канализация, трапы, жироуловитель</t>
        </is>
      </c>
      <c r="D35" s="3" t="inlineStr">
        <is>
          <t xml:space="preserve">Строители</t>
        </is>
      </c>
      <c r="E35" s="3"/>
      <c r="F35" s="4">
        <v>46335</v>
      </c>
      <c r="G35" s="4">
        <v>46360</v>
      </c>
      <c r="H35" s="5">
        <f>G35-F35+1</f>
      </c>
      <c r="I35" s="6">
        <v>0</v>
      </c>
      <c r="J35" s="5" t="str">
        <f>IF(I35&gt;=1,"Готово",IF(G35&lt;TODAY(),"Просрочено",IF(F35&lt;=TODAY(),"В работе","В плане")))</f>
      </c>
      <c r="K35" s="5"/>
      <c r="L35" s="5"/>
      <c r="M35" s="10" t="inlineStr">
        <is>
          <t xml:space="preserve">Прокладка электрики с выводом 380 В под печи, водопровода, канализации, установка трапов и жироуловителя. Работы идут по рабочим схемам бригады, которые сделаны по заданию команды PECÀN. Результат: Все выводы сделаны в точках по проекту и проверены до закрытия стен.</t>
        </is>
      </c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</row>
    <row r="36">
      <c r="A36" s="5">
        <v>32</v>
      </c>
      <c r="B36" s="3" t="inlineStr">
        <is>
          <t xml:space="preserve">Строительство и отделка</t>
        </is>
      </c>
      <c r="C36" s="3" t="inlineStr">
        <is>
          <t xml:space="preserve">Технологический надзор за выводами коммуникаций</t>
        </is>
      </c>
      <c r="D36" s="3" t="inlineStr">
        <is>
          <t xml:space="preserve">Команда PECÀN</t>
        </is>
      </c>
      <c r="E36" s="3"/>
      <c r="F36" s="4">
        <v>46335</v>
      </c>
      <c r="G36" s="4">
        <v>46367</v>
      </c>
      <c r="H36" s="5">
        <f>G36-F36+1</f>
      </c>
      <c r="I36" s="6">
        <v>0</v>
      </c>
      <c r="J36" s="5" t="str">
        <f>IF(I36&gt;=1,"Готово",IF(G36&lt;TODAY(),"Просрочено",IF(F36&lt;=TODAY(),"В работе","В плане")))</f>
      </c>
      <c r="K36" s="5"/>
      <c r="L36" s="5"/>
      <c r="M36" s="10" t="inlineStr">
        <is>
          <t xml:space="preserve">Команда PECÀN выезжает на объект и проверяет, что розетки, вода, канализация и вытяжка выведены ровно там, где будет стоять оборудование, и соответствуют заданию. Результат: Акты осмотра подписаны до закрытия стен, переделок после отделки не потребуется.</t>
        </is>
      </c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</row>
    <row r="37">
      <c r="A37" s="5">
        <v>33</v>
      </c>
      <c r="B37" s="3" t="inlineStr">
        <is>
          <t xml:space="preserve">Строительство и отделка</t>
        </is>
      </c>
      <c r="C37" s="3" t="inlineStr">
        <is>
          <t xml:space="preserve">Вентиляция и кондиционирование</t>
        </is>
      </c>
      <c r="D37" s="3" t="inlineStr">
        <is>
          <t xml:space="preserve">Строители</t>
        </is>
      </c>
      <c r="E37" s="3"/>
      <c r="F37" s="4">
        <v>46342</v>
      </c>
      <c r="G37" s="4">
        <v>46367</v>
      </c>
      <c r="H37" s="5">
        <f>G37-F37+1</f>
      </c>
      <c r="I37" s="6">
        <v>0</v>
      </c>
      <c r="J37" s="5" t="str">
        <f>IF(I37&gt;=1,"Готово",IF(G37&lt;TODAY(),"Просрочено",IF(F37&lt;=TODAY(),"В работе","В плане")))</f>
      </c>
      <c r="K37" s="5"/>
      <c r="L37" s="5"/>
      <c r="M37" s="10" t="inlineStr">
        <is>
          <t xml:space="preserve">Монтаж вытяжки над пекарней и кухней, приточной вентиляции и кондиционеров в зале. Результат: Вентиляция работает, в зале нет запахов кухни, кондиционеры охлаждают и греют.</t>
        </is>
      </c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</row>
    <row r="38">
      <c r="A38" s="5">
        <v>34</v>
      </c>
      <c r="B38" s="3" t="inlineStr">
        <is>
          <t xml:space="preserve">Строительство и отделка</t>
        </is>
      </c>
      <c r="C38" s="3" t="inlineStr">
        <is>
          <t xml:space="preserve">Чистовая отделка</t>
        </is>
      </c>
      <c r="D38" s="3" t="inlineStr">
        <is>
          <t xml:space="preserve">Строители</t>
        </is>
      </c>
      <c r="E38" s="3"/>
      <c r="F38" s="4">
        <v>46363</v>
      </c>
      <c r="G38" s="4">
        <v>46402</v>
      </c>
      <c r="H38" s="5">
        <f>G38-F38+1</f>
      </c>
      <c r="I38" s="6">
        <v>0</v>
      </c>
      <c r="J38" s="5" t="str">
        <f>IF(I38&gt;=1,"Готово",IF(G38&lt;TODAY(),"Просрочено",IF(F38&lt;=TODAY(),"В работе","В плане")))</f>
      </c>
      <c r="K38" s="5"/>
      <c r="L38" s="5"/>
      <c r="M38" s="10" t="inlineStr">
        <is>
          <t xml:space="preserve">Финишная отделка стен, пола и потолка по дизайн-проекту: штукатурка, покраска, плитка, напольное покрытие. Результат: Отделка завершена и принята дизайнером, помещение выглядит как на визуализациях.</t>
        </is>
      </c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</row>
    <row r="39">
      <c r="A39" s="5">
        <v>35</v>
      </c>
      <c r="B39" s="3" t="inlineStr">
        <is>
          <t xml:space="preserve">Строительство и отделка</t>
        </is>
      </c>
      <c r="C39" s="3" t="inlineStr">
        <is>
          <t xml:space="preserve">Свет, сантехника, столярные изделия</t>
        </is>
      </c>
      <c r="D39" s="3" t="inlineStr">
        <is>
          <t xml:space="preserve">Строители</t>
        </is>
      </c>
      <c r="E39" s="3"/>
      <c r="F39" s="4">
        <v>46391</v>
      </c>
      <c r="G39" s="4">
        <v>46409</v>
      </c>
      <c r="H39" s="5">
        <f>G39-F39+1</f>
      </c>
      <c r="I39" s="6">
        <v>0</v>
      </c>
      <c r="J39" s="5" t="str">
        <f>IF(I39&gt;=1,"Готово",IF(G39&lt;TODAY(),"Просрочено",IF(F39&lt;=TODAY(),"В работе","В плане")))</f>
      </c>
      <c r="K39" s="5"/>
      <c r="L39" s="5"/>
      <c r="M39" s="10" t="inlineStr">
        <is>
          <t xml:space="preserve">Установка светильников, сантехники, барной стойки и встроенной мебели. Результат: Свет горит, вода течёт, стойка и встроенная мебель стоят на местах.</t>
        </is>
      </c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</row>
    <row r="40">
      <c r="A40" s="5">
        <v>36</v>
      </c>
      <c r="B40" s="3" t="inlineStr">
        <is>
          <t xml:space="preserve">Строительство и отделка</t>
        </is>
      </c>
      <c r="C40" s="17" t="inlineStr">
        <is>
          <t xml:space="preserve">Приёмка строительной готовности</t>
        </is>
      </c>
      <c r="D40" s="3" t="inlineStr">
        <is>
          <t xml:space="preserve">Команда PECÀN</t>
        </is>
      </c>
      <c r="E40" s="3" t="inlineStr">
        <is>
          <t xml:space="preserve">Строители</t>
        </is>
      </c>
      <c r="F40" s="4">
        <v>46412</v>
      </c>
      <c r="G40" s="4">
        <v>46412</v>
      </c>
      <c r="H40" s="5">
        <f>G40-F40+1</f>
      </c>
      <c r="I40" s="6">
        <v>0</v>
      </c>
      <c r="J40" s="5" t="str">
        <f>IF(I40&gt;=1,"Готово",IF(G40&lt;TODAY(),"Просрочено",IF(F40&lt;=TODAY(),"В работе","В плане")))</f>
      </c>
      <c r="K40" s="5" t="inlineStr">
        <is>
          <t xml:space="preserve">да</t>
        </is>
      </c>
      <c r="L40" s="5"/>
      <c r="M40" s="10" t="inlineStr">
        <is>
          <t xml:space="preserve">Совместный обход помещения после ремонта: команда PECÀN, строители, дизайнер. Проверяем качество работ и готовность принять оборудование. Результат: Акт приёмки подписан, замечания устранены, помещение готово к завозу оборудования.</t>
        </is>
      </c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</row>
    <row r="41">
      <c r="A41" s="5">
        <v>37</v>
      </c>
      <c r="B41" s="3" t="inlineStr">
        <is>
          <t xml:space="preserve">Строительство и отделка</t>
        </is>
      </c>
      <c r="C41" s="3" t="inlineStr">
        <is>
          <t xml:space="preserve">Генеральная уборка после ремонта</t>
        </is>
      </c>
      <c r="D41" s="3" t="inlineStr">
        <is>
          <t xml:space="preserve">Строители</t>
        </is>
      </c>
      <c r="E41" s="3"/>
      <c r="F41" s="4">
        <v>46412</v>
      </c>
      <c r="G41" s="4">
        <v>46414</v>
      </c>
      <c r="H41" s="5">
        <f>G41-F41+1</f>
      </c>
      <c r="I41" s="6">
        <v>0</v>
      </c>
      <c r="J41" s="5" t="str">
        <f>IF(I41&gt;=1,"Готово",IF(G41&lt;TODAY(),"Просрочено",IF(F41&lt;=TODAY(),"В работе","В плане")))</f>
      </c>
      <c r="K41" s="5"/>
      <c r="L41" s="5"/>
      <c r="M41" s="10" t="inlineStr">
        <is>
          <t xml:space="preserve">Профессиональная уборка после строителей: пыль, следы краски, мытьё окон и полов. Результат: Помещение чистое, можно завозить оборудование и мебель.</t>
        </is>
      </c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</row>
    <row r="42">
      <c r="A42" s="5">
        <v>38</v>
      </c>
      <c r="B42" s="3" t="inlineStr">
        <is>
          <t xml:space="preserve">Комплектация и Китай</t>
        </is>
      </c>
      <c r="C42" s="3" t="inlineStr">
        <is>
          <t xml:space="preserve">Спецификации технологического оборудования и инвентаря</t>
        </is>
      </c>
      <c r="D42" s="3" t="inlineStr">
        <is>
          <t xml:space="preserve">Команда PECÀN</t>
        </is>
      </c>
      <c r="E42" s="3"/>
      <c r="F42" s="4">
        <v>46321</v>
      </c>
      <c r="G42" s="4">
        <v>46339</v>
      </c>
      <c r="H42" s="5">
        <f>G42-F42+1</f>
      </c>
      <c r="I42" s="6">
        <v>0</v>
      </c>
      <c r="J42" s="5" t="str">
        <f>IF(I42&gt;=1,"Готово",IF(G42&lt;TODAY(),"Просрочено",IF(F42&lt;=TODAY(),"В работе","В плане")))</f>
      </c>
      <c r="K42" s="5"/>
      <c r="L42" s="5" t="inlineStr">
        <is>
          <t xml:space="preserve">да</t>
        </is>
      </c>
      <c r="M42" s="10" t="inlineStr">
        <is>
          <t xml:space="preserve">Составляем точный список техники и инвентаря по проекту ТХ: печи, расстойка, холод, бар, нейтральное оборудование. Для каждой позиции указываем модель, размеры, мощность и количество. Результат: Спецификация, с которой можно ехать на фабрики и запрашивать цены.</t>
        </is>
      </c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</row>
    <row r="43">
      <c r="A43" s="5">
        <v>39</v>
      </c>
      <c r="B43" s="3" t="inlineStr">
        <is>
          <t xml:space="preserve">Комплектация и Китай</t>
        </is>
      </c>
      <c r="C43" s="3" t="inlineStr">
        <is>
          <t xml:space="preserve">Подготовка поездки: маршрут фабрик, визы, билеты</t>
        </is>
      </c>
      <c r="D43" s="3" t="inlineStr">
        <is>
          <t xml:space="preserve">Команда PECÀN</t>
        </is>
      </c>
      <c r="E43" s="3"/>
      <c r="F43" s="4">
        <v>46328</v>
      </c>
      <c r="G43" s="4">
        <v>46346</v>
      </c>
      <c r="H43" s="5">
        <f>G43-F43+1</f>
      </c>
      <c r="I43" s="6">
        <v>0</v>
      </c>
      <c r="J43" s="5" t="str">
        <f>IF(I43&gt;=1,"Готово",IF(G43&lt;TODAY(),"Просрочено",IF(F43&lt;=TODAY(),"В работе","В плане")))</f>
      </c>
      <c r="K43" s="5"/>
      <c r="L43" s="5"/>
      <c r="M43" s="10" t="inlineStr">
        <is>
          <t xml:space="preserve">Готовим поездку: договариваемся с фабриками в Гуанчжоу и Фошане, составляем маршрут по дням, оформляем визы и покупаем билеты. Результат: Маршрут с адресами и временем встреч, визы и билеты на руках.</t>
        </is>
      </c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</row>
    <row r="44">
      <c r="A44" s="5">
        <v>40</v>
      </c>
      <c r="B44" s="3" t="inlineStr">
        <is>
          <t xml:space="preserve">Комплектация и Китай</t>
        </is>
      </c>
      <c r="C44" s="3" t="inlineStr">
        <is>
          <t xml:space="preserve">Спецификации мебели, света и посуды по дизайн-проекту</t>
        </is>
      </c>
      <c r="D44" s="3" t="inlineStr">
        <is>
          <t xml:space="preserve">Команда PECÀN</t>
        </is>
      </c>
      <c r="E44" s="3" t="inlineStr">
        <is>
          <t xml:space="preserve">Подрядчики по дизайну</t>
        </is>
      </c>
      <c r="F44" s="4">
        <v>46335</v>
      </c>
      <c r="G44" s="4">
        <v>46346</v>
      </c>
      <c r="H44" s="5">
        <f>G44-F44+1</f>
      </c>
      <c r="I44" s="6">
        <v>0</v>
      </c>
      <c r="J44" s="5" t="str">
        <f>IF(I44&gt;=1,"Готово",IF(G44&lt;TODAY(),"Просрочено",IF(F44&lt;=TODAY(),"В работе","В плане")))</f>
      </c>
      <c r="K44" s="5"/>
      <c r="L44" s="5" t="inlineStr">
        <is>
          <t xml:space="preserve">да</t>
        </is>
      </c>
      <c r="M44" s="10" t="inlineStr">
        <is>
          <t xml:space="preserve">Список мебели, светильников и посуды по ведомостям из дизайн-проекта: размеры, материалы, цвета, количество. Результат: Спецификация, по которой фабрики дают цены и сроки.</t>
        </is>
      </c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</row>
    <row r="45">
      <c r="A45" s="5">
        <v>41</v>
      </c>
      <c r="B45" s="3" t="inlineStr">
        <is>
          <t xml:space="preserve">Комплектация и Китай</t>
        </is>
      </c>
      <c r="C45" s="17" t="inlineStr">
        <is>
          <t xml:space="preserve">Спецификации и бюджет закупок утверждены</t>
        </is>
      </c>
      <c r="D45" s="3" t="inlineStr">
        <is>
          <t xml:space="preserve">Команда PECÀN</t>
        </is>
      </c>
      <c r="E45" s="3"/>
      <c r="F45" s="4">
        <v>46346</v>
      </c>
      <c r="G45" s="4">
        <v>46346</v>
      </c>
      <c r="H45" s="5">
        <f>G45-F45+1</f>
      </c>
      <c r="I45" s="6">
        <v>0</v>
      </c>
      <c r="J45" s="5" t="str">
        <f>IF(I45&gt;=1,"Готово",IF(G45&lt;TODAY(),"Просрочено",IF(F45&lt;=TODAY(),"В работе","В плане")))</f>
      </c>
      <c r="K45" s="5" t="inlineStr">
        <is>
          <t xml:space="preserve">да</t>
        </is>
      </c>
      <c r="L45" s="5" t="inlineStr">
        <is>
          <t xml:space="preserve">да</t>
        </is>
      </c>
      <c r="M45" s="10" t="inlineStr">
        <is>
          <t xml:space="preserve">Утверждение списка закупок и суммы, которую готовы на них потратить. Результат: Спецификации и бюджет закупок письменно подтверждены.</t>
        </is>
      </c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</row>
    <row r="46">
      <c r="A46" s="5">
        <v>42</v>
      </c>
      <c r="B46" s="3" t="inlineStr">
        <is>
          <t xml:space="preserve">Комплектация и Китай</t>
        </is>
      </c>
      <c r="C46" s="3" t="inlineStr">
        <is>
          <t xml:space="preserve">Выездная сессия в Китае: Гуанчжоу, Фошань</t>
        </is>
      </c>
      <c r="D46" s="3" t="inlineStr">
        <is>
          <t xml:space="preserve">Команда PECÀN</t>
        </is>
      </c>
      <c r="E46" s="3"/>
      <c r="F46" s="4">
        <v>46349</v>
      </c>
      <c r="G46" s="4">
        <v>46355</v>
      </c>
      <c r="H46" s="5">
        <f>G46-F46+1</f>
      </c>
      <c r="I46" s="6">
        <v>0</v>
      </c>
      <c r="J46" s="5" t="str">
        <f>IF(I46&gt;=1,"Готово",IF(G46&lt;TODAY(),"Просрочено",IF(F46&lt;=TODAY(),"В работе","В плане")))</f>
      </c>
      <c r="K46" s="5"/>
      <c r="L46" s="5" t="inlineStr">
        <is>
          <t xml:space="preserve">да</t>
        </is>
      </c>
      <c r="M46" s="10" t="inlineStr">
        <is>
          <t xml:space="preserve">Неделя на фабриках и в шоурумах: смотрим оборудование, мебель, свет и посуду вживую, проверяем качество, торгуемся и согласуем сроки изготовления. Результат: По каждой позиции выбран поставщик, согласованы цена и срок готовности.</t>
        </is>
      </c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</row>
    <row r="47">
      <c r="A47" s="5">
        <v>43</v>
      </c>
      <c r="B47" s="3" t="inlineStr">
        <is>
          <t xml:space="preserve">Комплектация и Китай</t>
        </is>
      </c>
      <c r="C47" s="3" t="inlineStr">
        <is>
          <t xml:space="preserve">Размещение заказов и предоплата фабрикам</t>
        </is>
      </c>
      <c r="D47" s="3" t="inlineStr">
        <is>
          <t xml:space="preserve">Команда PECÀN</t>
        </is>
      </c>
      <c r="E47" s="3"/>
      <c r="F47" s="4">
        <v>46356</v>
      </c>
      <c r="G47" s="4">
        <v>46360</v>
      </c>
      <c r="H47" s="5">
        <f>G47-F47+1</f>
      </c>
      <c r="I47" s="6">
        <v>0</v>
      </c>
      <c r="J47" s="5" t="str">
        <f>IF(I47&gt;=1,"Готово",IF(G47&lt;TODAY(),"Просрочено",IF(F47&lt;=TODAY(),"В работе","В плане")))</f>
      </c>
      <c r="K47" s="5"/>
      <c r="L47" s="5" t="inlineStr">
        <is>
          <t xml:space="preserve">да</t>
        </is>
      </c>
      <c r="M47" s="10" t="inlineStr">
        <is>
          <t xml:space="preserve">Подписываем контракты с фабриками и вносим предоплату. Чем раньше оплата, тем раньше фабрика запускает производство. Результат: Все заказы оплачены, фабрики подтвердили дату готовности.</t>
        </is>
      </c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</row>
    <row r="48">
      <c r="A48" s="5">
        <v>44</v>
      </c>
      <c r="B48" s="3" t="inlineStr">
        <is>
          <t xml:space="preserve">Комплектация и Китай</t>
        </is>
      </c>
      <c r="C48" s="3" t="inlineStr">
        <is>
          <t xml:space="preserve">Заказ кофемашины у дилера в Казахстане</t>
        </is>
      </c>
      <c r="D48" s="3" t="inlineStr">
        <is>
          <t xml:space="preserve">Команда PECÀN</t>
        </is>
      </c>
      <c r="E48" s="3"/>
      <c r="F48" s="4">
        <v>46356</v>
      </c>
      <c r="G48" s="4">
        <v>46367</v>
      </c>
      <c r="H48" s="5">
        <f>G48-F48+1</f>
      </c>
      <c r="I48" s="6">
        <v>0</v>
      </c>
      <c r="J48" s="5" t="str">
        <f>IF(I48&gt;=1,"Готово",IF(G48&lt;TODAY(),"Просрочено",IF(F48&lt;=TODAY(),"В работе","В плане")))</f>
      </c>
      <c r="K48" s="5"/>
      <c r="L48" s="5"/>
      <c r="M48" s="10" t="inlineStr">
        <is>
          <t xml:space="preserve">Выбор и заказ кофемашины у дилера в Казахстане: с гарантией, сервисом и обучением. Результат: Кофемашина оплачена, дилер подтвердил дату поставки и установки.</t>
        </is>
      </c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</row>
    <row r="49">
      <c r="A49" s="5">
        <v>45</v>
      </c>
      <c r="B49" s="3" t="inlineStr">
        <is>
          <t xml:space="preserve">Комплектация и Китай</t>
        </is>
      </c>
      <c r="C49" s="3" t="inlineStr">
        <is>
          <t xml:space="preserve">Производство на фабриках</t>
        </is>
      </c>
      <c r="D49" s="3" t="inlineStr">
        <is>
          <t xml:space="preserve">Поставщики и логистика</t>
        </is>
      </c>
      <c r="E49" s="3"/>
      <c r="F49" s="4">
        <v>46363</v>
      </c>
      <c r="G49" s="4">
        <v>46395</v>
      </c>
      <c r="H49" s="5">
        <f>G49-F49+1</f>
      </c>
      <c r="I49" s="6">
        <v>0</v>
      </c>
      <c r="J49" s="5" t="str">
        <f>IF(I49&gt;=1,"Готово",IF(G49&lt;TODAY(),"Просрочено",IF(F49&lt;=TODAY(),"В работе","В плане")))</f>
      </c>
      <c r="K49" s="5"/>
      <c r="L49" s="5" t="inlineStr">
        <is>
          <t xml:space="preserve">да</t>
        </is>
      </c>
      <c r="M49" s="10" t="inlineStr">
        <is>
          <t xml:space="preserve">Фабрики изготавливают заказ. Раз в неделю получаем фото и видео, чтобы видеть ход работ и сроки. Результат: Всё изготовлено к согласованной дате и соответствует образцам.</t>
        </is>
      </c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</row>
    <row r="50">
      <c r="A50" s="5">
        <v>46</v>
      </c>
      <c r="B50" s="3" t="inlineStr">
        <is>
          <t xml:space="preserve">Комплектация и Китай</t>
        </is>
      </c>
      <c r="C50" s="3" t="inlineStr">
        <is>
          <t xml:space="preserve">Контроль качества и отгрузка из Китая</t>
        </is>
      </c>
      <c r="D50" s="3" t="inlineStr">
        <is>
          <t xml:space="preserve">Поставщики и логистика</t>
        </is>
      </c>
      <c r="E50" s="3"/>
      <c r="F50" s="4">
        <v>46391</v>
      </c>
      <c r="G50" s="4">
        <v>46400</v>
      </c>
      <c r="H50" s="5">
        <f>G50-F50+1</f>
      </c>
      <c r="I50" s="6">
        <v>0</v>
      </c>
      <c r="J50" s="5" t="str">
        <f>IF(I50&gt;=1,"Готово",IF(G50&lt;TODAY(),"Просрочено",IF(F50&lt;=TODAY(),"В работе","В плане")))</f>
      </c>
      <c r="K50" s="5"/>
      <c r="L50" s="5" t="inlineStr">
        <is>
          <t xml:space="preserve">да</t>
        </is>
      </c>
      <c r="M50" s="10" t="inlineStr">
        <is>
          <t xml:space="preserve">Проверяем готовый товар на фабриках перед упаковкой и отправляем. Отгрузка с запасом до закрытия фабрик на Китайский Новый год. Результат: Товар проверен, упакован и передан перевозчику до праздников. Как снижаем риск: Разместить заказы и внести предоплату в первую неделю после поездки, до 4 декабря.; В контракте с фабрикой указать дату готовности 8 января и удержание за просрочку.; Брать позиции из стандартных линеек с коротким сроком. Изготовление на заказ оставить только там, где без него нельзя.; Раз в неделю получать от фабрики фото и видео хода производства.; За неделю до готовности отправить на фабрику инспектора по качеству.</t>
        </is>
      </c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</row>
    <row r="51">
      <c r="A51" s="5">
        <v>47</v>
      </c>
      <c r="B51" s="3" t="inlineStr">
        <is>
          <t xml:space="preserve">Комплектация и Китай</t>
        </is>
      </c>
      <c r="C51" s="3" t="inlineStr">
        <is>
          <t xml:space="preserve">Доставка и таможенное оформление</t>
        </is>
      </c>
      <c r="D51" s="3" t="inlineStr">
        <is>
          <t xml:space="preserve">Поставщики и логистика</t>
        </is>
      </c>
      <c r="E51" s="3"/>
      <c r="F51" s="4">
        <v>46400</v>
      </c>
      <c r="G51" s="4">
        <v>46416</v>
      </c>
      <c r="H51" s="5">
        <f>G51-F51+1</f>
      </c>
      <c r="I51" s="6">
        <v>0</v>
      </c>
      <c r="J51" s="5" t="str">
        <f>IF(I51&gt;=1,"Готово",IF(G51&lt;TODAY(),"Просрочено",IF(F51&lt;=TODAY(),"В работе","В плане")))</f>
      </c>
      <c r="K51" s="5"/>
      <c r="L51" s="5" t="inlineStr">
        <is>
          <t xml:space="preserve">да</t>
        </is>
      </c>
      <c r="M51" s="10" t="inlineStr">
        <is>
          <t xml:space="preserve">Доставка груза из Китая в Астану и таможенное оформление. Везёт наша проверенная транспортная компания. Результат: Груз растаможен и готов к доставке на объект.</t>
        </is>
      </c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</row>
    <row r="52">
      <c r="A52" s="5">
        <v>48</v>
      </c>
      <c r="B52" s="3" t="inlineStr">
        <is>
          <t xml:space="preserve">Комплектация и Китай</t>
        </is>
      </c>
      <c r="C52" s="17" t="inlineStr">
        <is>
          <t xml:space="preserve">Оборудование и мебель на объекте</t>
        </is>
      </c>
      <c r="D52" s="3" t="inlineStr">
        <is>
          <t xml:space="preserve">Поставщики и логистика</t>
        </is>
      </c>
      <c r="E52" s="3"/>
      <c r="F52" s="4">
        <v>46416</v>
      </c>
      <c r="G52" s="4">
        <v>46416</v>
      </c>
      <c r="H52" s="5">
        <f>G52-F52+1</f>
      </c>
      <c r="I52" s="6">
        <v>0</v>
      </c>
      <c r="J52" s="5" t="str">
        <f>IF(I52&gt;=1,"Готово",IF(G52&lt;TODAY(),"Просрочено",IF(F52&lt;=TODAY(),"В работе","В плане")))</f>
      </c>
      <c r="K52" s="5" t="inlineStr">
        <is>
          <t xml:space="preserve">да</t>
        </is>
      </c>
      <c r="L52" s="5" t="inlineStr">
        <is>
          <t xml:space="preserve">да</t>
        </is>
      </c>
      <c r="M52" s="10" t="inlineStr">
        <is>
          <t xml:space="preserve">Разгрузка и приёмка: пересчитываем места, проверяем целостность упаковки и комплектность. Результат: Всё заказанное на объекте, повреждений нет либо они зафиксированы актом.</t>
        </is>
      </c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</row>
    <row r="53">
      <c r="A53" s="5">
        <v>49</v>
      </c>
      <c r="B53" s="3" t="inlineStr">
        <is>
          <t xml:space="preserve">Комплектация и Китай</t>
        </is>
      </c>
      <c r="C53" s="3" t="inlineStr">
        <is>
          <t xml:space="preserve">Монтаж оборудования, пусконаладка</t>
        </is>
      </c>
      <c r="D53" s="3" t="inlineStr">
        <is>
          <t xml:space="preserve">Поставщики и логистика</t>
        </is>
      </c>
      <c r="E53" s="3" t="inlineStr">
        <is>
          <t xml:space="preserve">Команда PECÀN: шеф-контроль</t>
        </is>
      </c>
      <c r="F53" s="4">
        <v>46419</v>
      </c>
      <c r="G53" s="4">
        <v>46425</v>
      </c>
      <c r="H53" s="5">
        <f>G53-F53+1</f>
      </c>
      <c r="I53" s="6">
        <v>0</v>
      </c>
      <c r="J53" s="5" t="str">
        <f>IF(I53&gt;=1,"Готово",IF(G53&lt;TODAY(),"Просрочено",IF(F53&lt;=TODAY(),"В работе","В плане")))</f>
      </c>
      <c r="K53" s="5"/>
      <c r="L53" s="5" t="inlineStr">
        <is>
          <t xml:space="preserve">да</t>
        </is>
      </c>
      <c r="M53" s="10" t="inlineStr">
        <is>
          <t xml:space="preserve">Расстановка оборудования по проекту ТХ, подключение к электрике, воде и вытяжке, пробный запуск каждой единицы. Результат: Вся техника работает, персонал может начинать проработки.</t>
        </is>
      </c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</row>
    <row r="54">
      <c r="A54" s="5">
        <v>50</v>
      </c>
      <c r="B54" s="3" t="inlineStr">
        <is>
          <t xml:space="preserve">Комплектация и Китай</t>
        </is>
      </c>
      <c r="C54" s="3" t="inlineStr">
        <is>
          <t xml:space="preserve">Расстановка мебели, свет, декор</t>
        </is>
      </c>
      <c r="D54" s="3" t="inlineStr">
        <is>
          <t xml:space="preserve">Подрядчики по дизайну</t>
        </is>
      </c>
      <c r="E54" s="3"/>
      <c r="F54" s="4">
        <v>46421</v>
      </c>
      <c r="G54" s="4">
        <v>46427</v>
      </c>
      <c r="H54" s="5">
        <f>G54-F54+1</f>
      </c>
      <c r="I54" s="6">
        <v>0</v>
      </c>
      <c r="J54" s="5" t="str">
        <f>IF(I54&gt;=1,"Готово",IF(G54&lt;TODAY(),"Просрочено",IF(F54&lt;=TODAY(),"В работе","В плане")))</f>
      </c>
      <c r="K54" s="5"/>
      <c r="L54" s="5"/>
      <c r="M54" s="10" t="inlineStr">
        <is>
          <t xml:space="preserve">Сборка и расстановка мебели в зале, развеска светильников, декор и растения. Результат: Зал полностью обставлен и выглядит как на визуализациях.</t>
        </is>
      </c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</row>
    <row r="55">
      <c r="A55" s="5">
        <v>51</v>
      </c>
      <c r="B55" s="3" t="inlineStr">
        <is>
          <t xml:space="preserve">Команда</t>
        </is>
      </c>
      <c r="C55" s="3" t="inlineStr">
        <is>
          <t xml:space="preserve">Штатное расписание, фонд оплаты труда, KPI</t>
        </is>
      </c>
      <c r="D55" s="3" t="inlineStr">
        <is>
          <t xml:space="preserve">Команда PECÀN</t>
        </is>
      </c>
      <c r="E55" s="3"/>
      <c r="F55" s="4">
        <v>46328</v>
      </c>
      <c r="G55" s="4">
        <v>46339</v>
      </c>
      <c r="H55" s="5">
        <f>G55-F55+1</f>
      </c>
      <c r="I55" s="6">
        <v>0</v>
      </c>
      <c r="J55" s="5" t="str">
        <f>IF(I55&gt;=1,"Готово",IF(G55&lt;TODAY(),"Просрочено",IF(F55&lt;=TODAY(),"В работе","В плане")))</f>
      </c>
      <c r="K55" s="5"/>
      <c r="L55" s="5"/>
      <c r="M55" s="10" t="inlineStr">
        <is>
          <t xml:space="preserve">Определяем, сколько человек и на какие должности нужно, какие смены и зарплаты, как считается премия за результат. Результат: Штатное расписание с фондом оплаты труда и понятной системой мотивации.</t>
        </is>
      </c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</row>
    <row r="56">
      <c r="A56" s="5">
        <v>52</v>
      </c>
      <c r="B56" s="3" t="inlineStr">
        <is>
          <t xml:space="preserve">Команда</t>
        </is>
      </c>
      <c r="C56" s="3" t="inlineStr">
        <is>
          <t xml:space="preserve">Подбор шеф-пекаря и шеф-бариста</t>
        </is>
      </c>
      <c r="D56" s="3" t="inlineStr">
        <is>
          <t xml:space="preserve">Команда PECÀN</t>
        </is>
      </c>
      <c r="E56" s="3"/>
      <c r="F56" s="4">
        <v>46342</v>
      </c>
      <c r="G56" s="4">
        <v>46367</v>
      </c>
      <c r="H56" s="5">
        <f>G56-F56+1</f>
      </c>
      <c r="I56" s="6">
        <v>0</v>
      </c>
      <c r="J56" s="5" t="str">
        <f>IF(I56&gt;=1,"Готово",IF(G56&lt;TODAY(),"Просрочено",IF(F56&lt;=TODAY(),"В работе","В плане")))</f>
      </c>
      <c r="K56" s="5"/>
      <c r="L56" s="5"/>
      <c r="M56" s="10" t="inlineStr">
        <is>
          <t xml:space="preserve">Ищем шефов, которые разработают меню выпечки и кофейную карту PECÀN и обучат команду. Результат: С шеф-пекарем и шеф-бариста заключены договоры на разработку меню.</t>
        </is>
      </c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</row>
    <row r="57">
      <c r="A57" s="5">
        <v>53</v>
      </c>
      <c r="B57" s="3" t="inlineStr">
        <is>
          <t xml:space="preserve">Команда</t>
        </is>
      </c>
      <c r="C57" s="3" t="inlineStr">
        <is>
          <t xml:space="preserve">Поиск управляющего</t>
        </is>
      </c>
      <c r="D57" s="3" t="inlineStr">
        <is>
          <t xml:space="preserve">Команда PECÀN</t>
        </is>
      </c>
      <c r="E57" s="3"/>
      <c r="F57" s="4">
        <v>46342</v>
      </c>
      <c r="G57" s="4">
        <v>46374</v>
      </c>
      <c r="H57" s="5">
        <f>G57-F57+1</f>
      </c>
      <c r="I57" s="6">
        <v>0</v>
      </c>
      <c r="J57" s="5" t="str">
        <f>IF(I57&gt;=1,"Готово",IF(G57&lt;TODAY(),"Просрочено",IF(F57&lt;=TODAY(),"В работе","В плане")))</f>
      </c>
      <c r="K57" s="5"/>
      <c r="L57" s="5"/>
      <c r="M57" s="10" t="inlineStr">
        <is>
          <t xml:space="preserve">Ищем управляющего кофейней: размещаем вакансию, приглашаем сильных кандидатов из других заведений, проводим собеседования и проверяем рекомендации. Результат: Управляющий выбран и готов выйти на обучение 25 января.</t>
        </is>
      </c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</row>
    <row r="58">
      <c r="A58" s="5">
        <v>54</v>
      </c>
      <c r="B58" s="3" t="inlineStr">
        <is>
          <t xml:space="preserve">Команда</t>
        </is>
      </c>
      <c r="C58" s="3" t="inlineStr">
        <is>
          <t xml:space="preserve">Подбор линейного персонала</t>
        </is>
      </c>
      <c r="D58" s="3" t="inlineStr">
        <is>
          <t xml:space="preserve">Команда PECÀN</t>
        </is>
      </c>
      <c r="E58" s="3"/>
      <c r="F58" s="4">
        <v>46391</v>
      </c>
      <c r="G58" s="4">
        <v>46416</v>
      </c>
      <c r="H58" s="5">
        <f>G58-F58+1</f>
      </c>
      <c r="I58" s="6">
        <v>0</v>
      </c>
      <c r="J58" s="5" t="str">
        <f>IF(I58&gt;=1,"Готово",IF(G58&lt;TODAY(),"Просрочено",IF(F58&lt;=TODAY(),"В работе","В плане")))</f>
      </c>
      <c r="K58" s="5"/>
      <c r="L58" s="5"/>
      <c r="M58" s="10" t="inlineStr">
        <is>
          <t xml:space="preserve">Набор команды: бариста, пекари, повара, кассиры, сотрудники зала и клининг. Вакансии, отбор анкет, собеседования, пробные смены. Результат: На каждую должность есть утверждённый кандидат с проверенными рекомендациями.</t>
        </is>
      </c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</row>
    <row r="59">
      <c r="A59" s="5">
        <v>55</v>
      </c>
      <c r="B59" s="3" t="inlineStr">
        <is>
          <t xml:space="preserve">Команда</t>
        </is>
      </c>
      <c r="C59" s="3" t="inlineStr">
        <is>
          <t xml:space="preserve">Оформление сотрудников и медицинские книжки</t>
        </is>
      </c>
      <c r="D59" s="3" t="inlineStr">
        <is>
          <t xml:space="preserve">Команда PECÀN</t>
        </is>
      </c>
      <c r="E59" s="3"/>
      <c r="F59" s="4">
        <v>46412</v>
      </c>
      <c r="G59" s="4">
        <v>46423</v>
      </c>
      <c r="H59" s="5">
        <f>G59-F59+1</f>
      </c>
      <c r="I59" s="6">
        <v>0</v>
      </c>
      <c r="J59" s="5" t="str">
        <f>IF(I59&gt;=1,"Готово",IF(G59&lt;TODAY(),"Просрочено",IF(F59&lt;=TODAY(),"В работе","В плане")))</f>
      </c>
      <c r="K59" s="5"/>
      <c r="L59" s="5"/>
      <c r="M59" s="10" t="inlineStr">
        <is>
          <t xml:space="preserve">Официальное оформление сотрудников и прохождение медосмотра с получением медицинских книжек. Результат: Со всеми подписаны договоры, у каждого действующая медкнижка.</t>
        </is>
      </c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</row>
    <row r="60">
      <c r="A60" s="5">
        <v>56</v>
      </c>
      <c r="B60" s="3" t="inlineStr">
        <is>
          <t xml:space="preserve">Команда</t>
        </is>
      </c>
      <c r="C60" s="17" t="inlineStr">
        <is>
          <t xml:space="preserve">Штат укомплектован: 10–14 человек</t>
        </is>
      </c>
      <c r="D60" s="3" t="inlineStr">
        <is>
          <t xml:space="preserve">Команда PECÀN</t>
        </is>
      </c>
      <c r="E60" s="3"/>
      <c r="F60" s="4">
        <v>46416</v>
      </c>
      <c r="G60" s="4">
        <v>46416</v>
      </c>
      <c r="H60" s="5">
        <f>G60-F60+1</f>
      </c>
      <c r="I60" s="6">
        <v>0</v>
      </c>
      <c r="J60" s="5" t="str">
        <f>IF(I60&gt;=1,"Готово",IF(G60&lt;TODAY(),"Просрочено",IF(F60&lt;=TODAY(),"В работе","В плане")))</f>
      </c>
      <c r="K60" s="5" t="inlineStr">
        <is>
          <t xml:space="preserve">да</t>
        </is>
      </c>
      <c r="L60" s="5"/>
      <c r="M60" s="10" t="inlineStr">
        <is>
          <t xml:space="preserve">Финальная проверка: все должности закрыты, люди подтвердили выход. Результат: Полный штат из 10–14 человек готов к обучению.</t>
        </is>
      </c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</row>
    <row r="61">
      <c r="A61" s="5">
        <v>57</v>
      </c>
      <c r="B61" s="3" t="inlineStr">
        <is>
          <t xml:space="preserve">Меню и продукт</t>
        </is>
      </c>
      <c r="C61" s="3" t="inlineStr">
        <is>
          <t xml:space="preserve">Концепция меню</t>
        </is>
      </c>
      <c r="D61" s="3" t="inlineStr">
        <is>
          <t xml:space="preserve">Команда PECÀN</t>
        </is>
      </c>
      <c r="E61" s="3" t="inlineStr">
        <is>
          <t xml:space="preserve">Шефы</t>
        </is>
      </c>
      <c r="F61" s="4">
        <v>46335</v>
      </c>
      <c r="G61" s="4">
        <v>46353</v>
      </c>
      <c r="H61" s="5">
        <f>G61-F61+1</f>
      </c>
      <c r="I61" s="6">
        <v>0</v>
      </c>
      <c r="J61" s="5" t="str">
        <f>IF(I61&gt;=1,"Готово",IF(G61&lt;TODAY(),"Просрочено",IF(F61&lt;=TODAY(),"В работе","В плане")))</f>
      </c>
      <c r="K61" s="5"/>
      <c r="L61" s="5"/>
      <c r="M61" s="10" t="inlineStr">
        <is>
          <t xml:space="preserve">Определяем, что будет в меню: категории, количество позиций, фирменные хиты, завтраки, сезонные предложения. Опираемся на ассортиментную матрицу и возможности оборудования. Результат: Утверждённая структура меню, по которой шефы пишут рецептуры.</t>
        </is>
      </c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</row>
    <row r="62">
      <c r="A62" s="5">
        <v>58</v>
      </c>
      <c r="B62" s="3" t="inlineStr">
        <is>
          <t xml:space="preserve">Меню и продукт</t>
        </is>
      </c>
      <c r="C62" s="3" t="inlineStr">
        <is>
          <t xml:space="preserve">Рецептуры и технологические карты</t>
        </is>
      </c>
      <c r="D62" s="3" t="inlineStr">
        <is>
          <t xml:space="preserve">Шефы и персонал</t>
        </is>
      </c>
      <c r="E62" s="3"/>
      <c r="F62" s="4">
        <v>46363</v>
      </c>
      <c r="G62" s="4">
        <v>46409</v>
      </c>
      <c r="H62" s="5">
        <f>G62-F62+1</f>
      </c>
      <c r="I62" s="6">
        <v>0</v>
      </c>
      <c r="J62" s="5" t="str">
        <f>IF(I62&gt;=1,"Готово",IF(G62&lt;TODAY(),"Просрочено",IF(F62&lt;=TODAY(),"В работе","В плане")))</f>
      </c>
      <c r="K62" s="5"/>
      <c r="L62" s="5"/>
      <c r="M62" s="10" t="inlineStr">
        <is>
          <t xml:space="preserve">Шефы разрабатывают рецепты и оформляют технологические карты: состав, граммовки, способ приготовления, себестоимость каждой позиции. Результат: На каждую позицию меню есть техкарта с себестоимостью и фото подачи.</t>
        </is>
      </c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</row>
    <row r="63">
      <c r="A63" s="5">
        <v>59</v>
      </c>
      <c r="B63" s="3" t="inlineStr">
        <is>
          <t xml:space="preserve">Меню и продукт</t>
        </is>
      </c>
      <c r="C63" s="3" t="inlineStr">
        <is>
          <t xml:space="preserve">Упаковка, печать меню, форма персонала</t>
        </is>
      </c>
      <c r="D63" s="3" t="inlineStr">
        <is>
          <t xml:space="preserve">Команда PECÀN</t>
        </is>
      </c>
      <c r="E63" s="3"/>
      <c r="F63" s="4">
        <v>46391</v>
      </c>
      <c r="G63" s="4">
        <v>46423</v>
      </c>
      <c r="H63" s="5">
        <f>G63-F63+1</f>
      </c>
      <c r="I63" s="6">
        <v>0</v>
      </c>
      <c r="J63" s="5" t="str">
        <f>IF(I63&gt;=1,"Готово",IF(G63&lt;TODAY(),"Просрочено",IF(F63&lt;=TODAY(),"В работе","В плане")))</f>
      </c>
      <c r="K63" s="5"/>
      <c r="L63" s="5"/>
      <c r="M63" s="10" t="inlineStr">
        <is>
          <t xml:space="preserve">Заказ стаканов, пакетов и коробок, печать меню и ценников, пошив формы. Всё по брендбуку, дизайн стаканов и крафтовых пакетов обновляется. Результат: Упаковка, меню и форма на объекте до технического открытия.</t>
        </is>
      </c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</row>
    <row r="64">
      <c r="A64" s="5">
        <v>60</v>
      </c>
      <c r="B64" s="3" t="inlineStr">
        <is>
          <t xml:space="preserve">Меню и продукт</t>
        </is>
      </c>
      <c r="C64" s="3" t="inlineStr">
        <is>
          <t xml:space="preserve">Поставщики сырья: отбор и договоры</t>
        </is>
      </c>
      <c r="D64" s="3" t="inlineStr">
        <is>
          <t xml:space="preserve">Команда PECÀN</t>
        </is>
      </c>
      <c r="E64" s="3"/>
      <c r="F64" s="4">
        <v>46398</v>
      </c>
      <c r="G64" s="4">
        <v>46423</v>
      </c>
      <c r="H64" s="5">
        <f>G64-F64+1</f>
      </c>
      <c r="I64" s="6">
        <v>0</v>
      </c>
      <c r="J64" s="5" t="str">
        <f>IF(I64&gt;=1,"Готово",IF(G64&lt;TODAY(),"Просрочено",IF(F64&lt;=TODAY(),"В работе","В плане")))</f>
      </c>
      <c r="K64" s="5"/>
      <c r="L64" s="5"/>
      <c r="M64" s="10" t="inlineStr">
        <is>
          <t xml:space="preserve">Выбираем поставщиков кофе, молока, муки, масла и остальных продуктов: сравниваем качество, цены и условия доставки, заключаем договоры. Результат: На каждый ключевой продукт есть основной и запасной поставщик с договором.</t>
        </is>
      </c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</row>
    <row r="65">
      <c r="A65" s="5">
        <v>61</v>
      </c>
      <c r="B65" s="3" t="inlineStr">
        <is>
          <t xml:space="preserve">Меню и продукт</t>
        </is>
      </c>
      <c r="C65" s="3" t="inlineStr">
        <is>
          <t xml:space="preserve">Проработки и дегустации на объекте</t>
        </is>
      </c>
      <c r="D65" s="3" t="inlineStr">
        <is>
          <t xml:space="preserve">Шефы и персонал</t>
        </is>
      </c>
      <c r="E65" s="3"/>
      <c r="F65" s="4">
        <v>46426</v>
      </c>
      <c r="G65" s="4">
        <v>46431</v>
      </c>
      <c r="H65" s="5">
        <f>G65-F65+1</f>
      </c>
      <c r="I65" s="6">
        <v>0</v>
      </c>
      <c r="J65" s="5" t="str">
        <f>IF(I65&gt;=1,"Готово",IF(G65&lt;TODAY(),"Просрочено",IF(F65&lt;=TODAY(),"В работе","В плане")))</f>
      </c>
      <c r="K65" s="5"/>
      <c r="L65" s="5"/>
      <c r="M65" s="10" t="inlineStr">
        <is>
          <t xml:space="preserve">Шефы готовят всё меню на нашем оборудовании, команда PECÀN пробует и даёт правки по вкусу, подаче и времени приготовления. Результат: Каждая позиция утверждена по вкусу и подаче, время отдачи укладывается в стандарт.</t>
        </is>
      </c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</row>
    <row r="66">
      <c r="A66" s="5">
        <v>62</v>
      </c>
      <c r="B66" s="3" t="inlineStr">
        <is>
          <t xml:space="preserve">Автоматизация и IT</t>
        </is>
      </c>
      <c r="C66" s="3" t="inlineStr">
        <is>
          <t xml:space="preserve">Закупка касс, принтеров, лицензий iiko</t>
        </is>
      </c>
      <c r="D66" s="3" t="inlineStr">
        <is>
          <t xml:space="preserve">Команда PECÀN</t>
        </is>
      </c>
      <c r="E66" s="3"/>
      <c r="F66" s="4">
        <v>46398</v>
      </c>
      <c r="G66" s="4">
        <v>46409</v>
      </c>
      <c r="H66" s="5">
        <f>G66-F66+1</f>
      </c>
      <c r="I66" s="6">
        <v>0</v>
      </c>
      <c r="J66" s="5" t="str">
        <f>IF(I66&gt;=1,"Готово",IF(G66&lt;TODAY(),"Просрочено",IF(F66&lt;=TODAY(),"В работе","В плане")))</f>
      </c>
      <c r="K66" s="5"/>
      <c r="L66" s="5"/>
      <c r="M66" s="10" t="inlineStr">
        <is>
          <t xml:space="preserve">Покупка кассовых моноблоков, принтеров чеков и лицензий iiko. Результат: Оборудование и лицензии на руках, можно начинать настройку.</t>
        </is>
      </c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</row>
    <row r="67">
      <c r="A67" s="5">
        <v>63</v>
      </c>
      <c r="B67" s="3" t="inlineStr">
        <is>
          <t xml:space="preserve">Автоматизация и IT</t>
        </is>
      </c>
      <c r="C67" s="3" t="inlineStr">
        <is>
          <t xml:space="preserve">Настройка iiko: номенклатура, склады, техкарты</t>
        </is>
      </c>
      <c r="D67" s="3" t="inlineStr">
        <is>
          <t xml:space="preserve">Команда PECÀN</t>
        </is>
      </c>
      <c r="E67" s="3"/>
      <c r="F67" s="4">
        <v>46412</v>
      </c>
      <c r="G67" s="4">
        <v>46430</v>
      </c>
      <c r="H67" s="5">
        <f>G67-F67+1</f>
      </c>
      <c r="I67" s="6">
        <v>0</v>
      </c>
      <c r="J67" s="5" t="str">
        <f>IF(I67&gt;=1,"Готово",IF(G67&lt;TODAY(),"Просрочено",IF(F67&lt;=TODAY(),"В работе","В плане")))</f>
      </c>
      <c r="K67" s="5"/>
      <c r="L67" s="5"/>
      <c r="M67" s="10" t="inlineStr">
        <is>
          <t xml:space="preserve">Настраиваем систему учёта: заносим меню, склады, техкарты шефов и правила списания продуктов. Результат: Каждая продажа автоматически списывает продукты со склада, остатки видны в системе.</t>
        </is>
      </c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</row>
    <row r="68">
      <c r="A68" s="5">
        <v>64</v>
      </c>
      <c r="B68" s="3" t="inlineStr">
        <is>
          <t xml:space="preserve">Автоматизация и IT</t>
        </is>
      </c>
      <c r="C68" s="3" t="inlineStr">
        <is>
          <t xml:space="preserve">Бонусная программа лояльности</t>
        </is>
      </c>
      <c r="D68" s="3" t="inlineStr">
        <is>
          <t xml:space="preserve">Команда PECÀN</t>
        </is>
      </c>
      <c r="E68" s="3"/>
      <c r="F68" s="4">
        <v>46419</v>
      </c>
      <c r="G68" s="4">
        <v>46430</v>
      </c>
      <c r="H68" s="5">
        <f>G68-F68+1</f>
      </c>
      <c r="I68" s="6">
        <v>0</v>
      </c>
      <c r="J68" s="5" t="str">
        <f>IF(I68&gt;=1,"Готово",IF(G68&lt;TODAY(),"Просрочено",IF(F68&lt;=TODAY(),"В работе","В плане")))</f>
      </c>
      <c r="K68" s="5"/>
      <c r="L68" s="5"/>
      <c r="M68" s="10" t="inlineStr">
        <is>
          <t xml:space="preserve">Настраиваем бонусную программу для гостей и связываем её с кассой, обучаем кассиров. Результат: Гость регистрируется за минуту, бонусы начисляются и списываются на кассе.</t>
        </is>
      </c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</row>
    <row r="69">
      <c r="A69" s="5">
        <v>65</v>
      </c>
      <c r="B69" s="3" t="inlineStr">
        <is>
          <t xml:space="preserve">Автоматизация и IT</t>
        </is>
      </c>
      <c r="C69" s="3" t="inlineStr">
        <is>
          <t xml:space="preserve">Kaspi Pay, Webkassa, кассовая зона</t>
        </is>
      </c>
      <c r="D69" s="3" t="inlineStr">
        <is>
          <t xml:space="preserve">Команда PECÀN</t>
        </is>
      </c>
      <c r="E69" s="3"/>
      <c r="F69" s="4">
        <v>46419</v>
      </c>
      <c r="G69" s="4">
        <v>46430</v>
      </c>
      <c r="H69" s="5">
        <f>G69-F69+1</f>
      </c>
      <c r="I69" s="6">
        <v>0</v>
      </c>
      <c r="J69" s="5" t="str">
        <f>IF(I69&gt;=1,"Готово",IF(G69&lt;TODAY(),"Просрочено",IF(F69&lt;=TODAY(),"В работе","В плане")))</f>
      </c>
      <c r="K69" s="5"/>
      <c r="L69" s="5"/>
      <c r="M69" s="10" t="inlineStr">
        <is>
          <t xml:space="preserve">Подключаем оплату через Kaspi и картой, онлайн-кассу Webkassa, принтеры на баре и кухне. Результат: Тестовая продажа проходит целиком: заказ, оплата, чек, заказ на кухне.</t>
        </is>
      </c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</row>
    <row r="70">
      <c r="A70" s="5">
        <v>66</v>
      </c>
      <c r="B70" s="3" t="inlineStr">
        <is>
          <t xml:space="preserve">Автоматизация и IT</t>
        </is>
      </c>
      <c r="C70" s="3" t="inlineStr">
        <is>
          <t xml:space="preserve">Дашборд для владельцев</t>
        </is>
      </c>
      <c r="D70" s="3" t="inlineStr">
        <is>
          <t xml:space="preserve">Команда PECÀN</t>
        </is>
      </c>
      <c r="E70" s="3"/>
      <c r="F70" s="4">
        <v>46426</v>
      </c>
      <c r="G70" s="4">
        <v>46437</v>
      </c>
      <c r="H70" s="5">
        <f>G70-F70+1</f>
      </c>
      <c r="I70" s="6">
        <v>0</v>
      </c>
      <c r="J70" s="5" t="str">
        <f>IF(I70&gt;=1,"Готово",IF(G70&lt;TODAY(),"Просрочено",IF(F70&lt;=TODAY(),"В работе","В плане")))</f>
      </c>
      <c r="K70" s="5"/>
      <c r="L70" s="5"/>
      <c r="M70" s="10" t="inlineStr">
        <is>
          <t xml:space="preserve">Настраиваем отчёты, которые владельцы видят с телефона: выручка, средний чек, количество гостей, остатки. Результат: Вы открываете приложение и видите выручку за сегодня в реальном времени.</t>
        </is>
      </c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</row>
    <row r="71">
      <c r="A71" s="5">
        <v>67</v>
      </c>
      <c r="B71" s="3" t="inlineStr">
        <is>
          <t xml:space="preserve">Автоматизация и IT</t>
        </is>
      </c>
      <c r="C71" s="3" t="inlineStr">
        <is>
          <t xml:space="preserve">Заявки в Wolt, Yandex Eats, Glovo, Choco</t>
        </is>
      </c>
      <c r="D71" s="3" t="inlineStr">
        <is>
          <t xml:space="preserve">Команда PECÀN</t>
        </is>
      </c>
      <c r="E71" s="3"/>
      <c r="F71" s="4">
        <v>46426</v>
      </c>
      <c r="G71" s="4">
        <v>46444</v>
      </c>
      <c r="H71" s="5">
        <f>G71-F71+1</f>
      </c>
      <c r="I71" s="6">
        <v>0</v>
      </c>
      <c r="J71" s="5" t="str">
        <f>IF(I71&gt;=1,"Готово",IF(G71&lt;TODAY(),"Просрочено",IF(F71&lt;=TODAY(),"В работе","В плане")))</f>
      </c>
      <c r="K71" s="5"/>
      <c r="L71" s="5"/>
      <c r="M71" s="10" t="inlineStr">
        <is>
          <t xml:space="preserve">Готовим меню доставки и подаём заявки на подключение. Решение о подключении принимают сами сервисы. Результат: Заявки поданы во все четыре сервиса, меню и фото готовы.</t>
        </is>
      </c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</row>
    <row r="72">
      <c r="A72" s="5">
        <v>68</v>
      </c>
      <c r="B72" s="3" t="inlineStr">
        <is>
          <t xml:space="preserve">Стандарты и обучение</t>
        </is>
      </c>
      <c r="C72" s="3" t="inlineStr">
        <is>
          <t xml:space="preserve">Service Book, должностные инструкции, чек-листы, ХАССП</t>
        </is>
      </c>
      <c r="D72" s="3" t="inlineStr">
        <is>
          <t xml:space="preserve">Команда PECÀN</t>
        </is>
      </c>
      <c r="E72" s="3"/>
      <c r="F72" s="4">
        <v>46342</v>
      </c>
      <c r="G72" s="4">
        <v>46374</v>
      </c>
      <c r="H72" s="5">
        <f>G72-F72+1</f>
      </c>
      <c r="I72" s="6">
        <v>0</v>
      </c>
      <c r="J72" s="5" t="str">
        <f>IF(I72&gt;=1,"Готово",IF(G72&lt;TODAY(),"Просрочено",IF(F72&lt;=TODAY(),"В работе","В плане")))</f>
      </c>
      <c r="K72" s="5"/>
      <c r="L72" s="5"/>
      <c r="M72" s="10" t="inlineStr">
        <is>
          <t xml:space="preserve">Пишем правила работы кофейни: как встречать гостя и готовить заказ, кто за что отвечает, что делать при открытии и закрытии смены, как соблюдать санитарные нормы. Результат: Комплект документов, по которым новый сотрудник понимает свою работу с первого дня.</t>
        </is>
      </c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</row>
    <row r="73">
      <c r="A73" s="5">
        <v>69</v>
      </c>
      <c r="B73" s="3" t="inlineStr">
        <is>
          <t xml:space="preserve">Стандарты и обучение</t>
        </is>
      </c>
      <c r="C73" s="3" t="inlineStr">
        <is>
          <t xml:space="preserve">Обучение управляющего</t>
        </is>
      </c>
      <c r="D73" s="3" t="inlineStr">
        <is>
          <t xml:space="preserve">Команда PECÀN</t>
        </is>
      </c>
      <c r="E73" s="3"/>
      <c r="F73" s="4">
        <v>46412</v>
      </c>
      <c r="G73" s="4">
        <v>46423</v>
      </c>
      <c r="H73" s="5">
        <f>G73-F73+1</f>
      </c>
      <c r="I73" s="6">
        <v>0</v>
      </c>
      <c r="J73" s="5" t="str">
        <f>IF(I73&gt;=1,"Готово",IF(G73&lt;TODAY(),"Просрочено",IF(F73&lt;=TODAY(),"В работе","В плане")))</f>
      </c>
      <c r="K73" s="5"/>
      <c r="L73" s="5"/>
      <c r="M73" s="10" t="inlineStr">
        <is>
          <t xml:space="preserve">Учим управляющего вести кофейню: графики смен, заказ продуктов, себестоимость, инвентаризация, работа с отзывами и жалобами. Результат: Управляющий самостоятельно составляет график, делает заказ поставщикам и читает отчёты.</t>
        </is>
      </c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</row>
    <row r="74">
      <c r="A74" s="5">
        <v>70</v>
      </c>
      <c r="B74" s="3" t="inlineStr">
        <is>
          <t xml:space="preserve">Стандарты и обучение</t>
        </is>
      </c>
      <c r="C74" s="3" t="inlineStr">
        <is>
          <t xml:space="preserve">Договоры ЖКХ, вывоз отходов, уведомление о начале деятельности</t>
        </is>
      </c>
      <c r="D74" s="3" t="inlineStr">
        <is>
          <t xml:space="preserve">Команда PECÀN</t>
        </is>
      </c>
      <c r="E74" s="3"/>
      <c r="F74" s="4">
        <v>46412</v>
      </c>
      <c r="G74" s="4">
        <v>46430</v>
      </c>
      <c r="H74" s="5">
        <f>G74-F74+1</f>
      </c>
      <c r="I74" s="6">
        <v>0</v>
      </c>
      <c r="J74" s="5" t="str">
        <f>IF(I74&gt;=1,"Готово",IF(G74&lt;TODAY(),"Просрочено",IF(F74&lt;=TODAY(),"В работе","В плане")))</f>
      </c>
      <c r="K74" s="5"/>
      <c r="L74" s="5"/>
      <c r="M74" s="10" t="inlineStr">
        <is>
          <t xml:space="preserve">Договоры на электричество, воду, вывоз мусора и дезинсекцию, уведомление о начале деятельности. Результат: Все договоры подписаны, уведомление подано, можно легально работать.</t>
        </is>
      </c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</row>
    <row r="75">
      <c r="A75" s="5">
        <v>71</v>
      </c>
      <c r="B75" s="3" t="inlineStr">
        <is>
          <t xml:space="preserve">Стандарты и обучение</t>
        </is>
      </c>
      <c r="C75" s="3" t="inlineStr">
        <is>
          <t xml:space="preserve">Академия PECÀN: бариста, пекарня, кухня, сервис</t>
        </is>
      </c>
      <c r="D75" s="3" t="inlineStr">
        <is>
          <t xml:space="preserve">Команда PECÀN</t>
        </is>
      </c>
      <c r="E75" s="3" t="inlineStr">
        <is>
          <t xml:space="preserve">Персонал кофейни</t>
        </is>
      </c>
      <c r="F75" s="4">
        <v>46426</v>
      </c>
      <c r="G75" s="4">
        <v>46431</v>
      </c>
      <c r="H75" s="5">
        <f>G75-F75+1</f>
      </c>
      <c r="I75" s="6">
        <v>0</v>
      </c>
      <c r="J75" s="5" t="str">
        <f>IF(I75&gt;=1,"Готово",IF(G75&lt;TODAY(),"Просрочено",IF(F75&lt;=TODAY(),"В работе","В плане")))</f>
      </c>
      <c r="K75" s="5"/>
      <c r="L75" s="5" t="inlineStr">
        <is>
          <t xml:space="preserve">да</t>
        </is>
      </c>
      <c r="M75" s="10" t="inlineStr">
        <is>
          <t xml:space="preserve">Неделя обучения всей команды: бариста тренируют кофе и скорость, пекари и повара работают по техкартам, зал и касса учат меню и стандарты общения с гостем. Результат: Каждый сотрудник знает меню и свои действия на смене, готов к аттестации.</t>
        </is>
      </c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</row>
    <row r="76">
      <c r="A76" s="5">
        <v>72</v>
      </c>
      <c r="B76" s="3" t="inlineStr">
        <is>
          <t xml:space="preserve">Стандарты и обучение</t>
        </is>
      </c>
      <c r="C76" s="17" t="inlineStr">
        <is>
          <t xml:space="preserve">Аттестация команды</t>
        </is>
      </c>
      <c r="D76" s="3" t="inlineStr">
        <is>
          <t xml:space="preserve">Команда PECÀN</t>
        </is>
      </c>
      <c r="E76" s="3"/>
      <c r="F76" s="4">
        <v>46431</v>
      </c>
      <c r="G76" s="4">
        <v>46431</v>
      </c>
      <c r="H76" s="5">
        <f>G76-F76+1</f>
      </c>
      <c r="I76" s="6">
        <v>0</v>
      </c>
      <c r="J76" s="5" t="str">
        <f>IF(I76&gt;=1,"Готово",IF(G76&lt;TODAY(),"Просрочено",IF(F76&lt;=TODAY(),"В работе","В плане")))</f>
      </c>
      <c r="K76" s="5" t="inlineStr">
        <is>
          <t xml:space="preserve">да</t>
        </is>
      </c>
      <c r="L76" s="5" t="inlineStr">
        <is>
          <t xml:space="preserve">да</t>
        </is>
      </c>
      <c r="M76" s="10" t="inlineStr">
        <is>
          <t xml:space="preserve">Экзамен для каждого сотрудника: теория по меню и стандартам плюс практика на рабочем месте. Результат: К смене допущены только те, кто сдал аттестацию.</t>
        </is>
      </c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</row>
    <row r="77">
      <c r="A77" s="5">
        <v>73</v>
      </c>
      <c r="B77" s="3" t="inlineStr">
        <is>
          <t xml:space="preserve">Маркетинг запуска</t>
        </is>
      </c>
      <c r="C77" s="3" t="inlineStr">
        <is>
          <t xml:space="preserve">Медиаплан запуска</t>
        </is>
      </c>
      <c r="D77" s="3" t="inlineStr">
        <is>
          <t xml:space="preserve">Команда PECÀN</t>
        </is>
      </c>
      <c r="E77" s="3"/>
      <c r="F77" s="4">
        <v>46321</v>
      </c>
      <c r="G77" s="4">
        <v>46339</v>
      </c>
      <c r="H77" s="5">
        <f>G77-F77+1</f>
      </c>
      <c r="I77" s="6">
        <v>0</v>
      </c>
      <c r="J77" s="5" t="str">
        <f>IF(I77&gt;=1,"Готово",IF(G77&lt;TODAY(),"Просрочено",IF(F77&lt;=TODAY(),"В работе","В плане")))</f>
      </c>
      <c r="K77" s="5"/>
      <c r="L77" s="5"/>
      <c r="M77" s="10" t="inlineStr">
        <is>
          <t xml:space="preserve">План продвижения: что, где и когда публикуем до и после открытия, какие активности проводим, какой бюджет на рекламу нужен. Результат: Календарь публикаций и активностей с бюджетом по неделям.</t>
        </is>
      </c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</row>
    <row r="78">
      <c r="A78" s="5">
        <v>74</v>
      </c>
      <c r="B78" s="3" t="inlineStr">
        <is>
          <t xml:space="preserve">Маркетинг запуска</t>
        </is>
      </c>
      <c r="C78" s="3" t="inlineStr">
        <is>
          <t xml:space="preserve">Instagram: прогрев до открытия</t>
        </is>
      </c>
      <c r="D78" s="3" t="inlineStr">
        <is>
          <t xml:space="preserve">Команда PECÀN</t>
        </is>
      </c>
      <c r="E78" s="3"/>
      <c r="F78" s="4">
        <v>46391</v>
      </c>
      <c r="G78" s="4">
        <v>46459</v>
      </c>
      <c r="H78" s="5">
        <f>G78-F78+1</f>
      </c>
      <c r="I78" s="6">
        <v>0</v>
      </c>
      <c r="J78" s="5" t="str">
        <f>IF(I78&gt;=1,"Готово",IF(G78&lt;TODAY(),"Просрочено",IF(F78&lt;=TODAY(),"В работе","В плане")))</f>
      </c>
      <c r="K78" s="5"/>
      <c r="L78" s="5"/>
      <c r="M78" s="10" t="inlineStr">
        <is>
          <t xml:space="preserve">Ведём аккаунт до открытия: показываем ремонт, команду, пробы меню, собираем аудиторию района. Результат: К открытию у аккаунта есть живые подписчики из района, которые ждут запуска.</t>
        </is>
      </c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</row>
    <row r="79">
      <c r="A79" s="5">
        <v>75</v>
      </c>
      <c r="B79" s="3" t="inlineStr">
        <is>
          <t xml:space="preserve">Маркетинг запуска</t>
        </is>
      </c>
      <c r="C79" s="3" t="inlineStr">
        <is>
          <t xml:space="preserve">Карточки в 2ГИС, Яндекс и Google</t>
        </is>
      </c>
      <c r="D79" s="3" t="inlineStr">
        <is>
          <t xml:space="preserve">Команда PECÀN</t>
        </is>
      </c>
      <c r="E79" s="3"/>
      <c r="F79" s="4">
        <v>46419</v>
      </c>
      <c r="G79" s="4">
        <v>46430</v>
      </c>
      <c r="H79" s="5">
        <f>G79-F79+1</f>
      </c>
      <c r="I79" s="6">
        <v>0</v>
      </c>
      <c r="J79" s="5" t="str">
        <f>IF(I79&gt;=1,"Готово",IF(G79&lt;TODAY(),"Просрочено",IF(F79&lt;=TODAY(),"В работе","В плане")))</f>
      </c>
      <c r="K79" s="5"/>
      <c r="L79" s="5"/>
      <c r="M79" s="10" t="inlineStr">
        <is>
          <t xml:space="preserve">Создаём и оформляем карточки заведения на картах: адрес, часы работы, фото, меню. Результат: PECÀN находится в поиске на картах, информация и фото актуальны.</t>
        </is>
      </c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</row>
    <row r="80">
      <c r="A80" s="5">
        <v>76</v>
      </c>
      <c r="B80" s="3" t="inlineStr">
        <is>
          <t xml:space="preserve">Маркетинг запуска</t>
        </is>
      </c>
      <c r="C80" s="3" t="inlineStr">
        <is>
          <t xml:space="preserve">Подготовка торжественного открытия</t>
        </is>
      </c>
      <c r="D80" s="3" t="inlineStr">
        <is>
          <t xml:space="preserve">Команда PECÀN</t>
        </is>
      </c>
      <c r="E80" s="3"/>
      <c r="F80" s="4">
        <v>46433</v>
      </c>
      <c r="G80" s="4">
        <v>46458</v>
      </c>
      <c r="H80" s="5">
        <f>G80-F80+1</f>
      </c>
      <c r="I80" s="6">
        <v>0</v>
      </c>
      <c r="J80" s="5" t="str">
        <f>IF(I80&gt;=1,"Готово",IF(G80&lt;TODAY(),"Просрочено",IF(F80&lt;=TODAY(),"В работе","В плане")))</f>
      </c>
      <c r="K80" s="5"/>
      <c r="L80" s="5"/>
      <c r="M80" s="10" t="inlineStr">
        <is>
          <t xml:space="preserve">Готовим торжественное открытие: программа дня, приглашения блогерам и гостям, подарки, фото и видеосъёмка. Результат: Сценарий утверждён, гости приглашены, всё закуплено за день до события.</t>
        </is>
      </c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</row>
    <row r="81">
      <c r="A81" s="5">
        <v>77</v>
      </c>
      <c r="B81" s="3" t="inlineStr">
        <is>
          <t xml:space="preserve">Запуск</t>
        </is>
      </c>
      <c r="C81" s="3" t="inlineStr">
        <is>
          <t xml:space="preserve">Первый закуп продуктов и расходников</t>
        </is>
      </c>
      <c r="D81" s="3" t="inlineStr">
        <is>
          <t xml:space="preserve">Команда PECÀN</t>
        </is>
      </c>
      <c r="E81" s="3"/>
      <c r="F81" s="4">
        <v>46428</v>
      </c>
      <c r="G81" s="4">
        <v>46432</v>
      </c>
      <c r="H81" s="5">
        <f>G81-F81+1</f>
      </c>
      <c r="I81" s="6">
        <v>0</v>
      </c>
      <c r="J81" s="5" t="str">
        <f>IF(I81&gt;=1,"Готово",IF(G81&lt;TODAY(),"Просрочено",IF(F81&lt;=TODAY(),"В работе","В плане")))</f>
      </c>
      <c r="K81" s="5"/>
      <c r="L81" s="5"/>
      <c r="M81" s="10" t="inlineStr">
        <is>
          <t xml:space="preserve">Первая закупка продуктов, кофе, молока, упаковки и расходников под стартовое меню. Результат: Склад заполнен на первую неделю работы.</t>
        </is>
      </c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</row>
    <row r="82">
      <c r="A82" s="5">
        <v>78</v>
      </c>
      <c r="B82" s="3" t="inlineStr">
        <is>
          <t xml:space="preserve">Запуск</t>
        </is>
      </c>
      <c r="C82" s="17" t="inlineStr">
        <is>
          <t xml:space="preserve">Техническое открытие</t>
        </is>
      </c>
      <c r="D82" s="3" t="inlineStr">
        <is>
          <t xml:space="preserve">Команда PECÀN</t>
        </is>
      </c>
      <c r="E82" s="3" t="inlineStr">
        <is>
          <t xml:space="preserve">Все участники</t>
        </is>
      </c>
      <c r="F82" s="4">
        <v>46433</v>
      </c>
      <c r="G82" s="4">
        <v>46433</v>
      </c>
      <c r="H82" s="5">
        <f>G82-F82+1</f>
      </c>
      <c r="I82" s="6">
        <v>0</v>
      </c>
      <c r="J82" s="5" t="str">
        <f>IF(I82&gt;=1,"Готово",IF(G82&lt;TODAY(),"Просрочено",IF(F82&lt;=TODAY(),"В работе","В плане")))</f>
      </c>
      <c r="K82" s="5" t="inlineStr">
        <is>
          <t xml:space="preserve">да</t>
        </is>
      </c>
      <c r="L82" s="5" t="inlineStr">
        <is>
          <t xml:space="preserve">да</t>
        </is>
      </c>
      <c r="M82" s="10" t="inlineStr">
        <is>
          <t xml:space="preserve">Первый рабочий день без рекламы и вывески о запуске. Принимаем первых гостей и проверяем все процессы в реальной работе. Результат: Кофейня открыла двери и отработала полную смену.</t>
        </is>
      </c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</row>
    <row r="83">
      <c r="A83" s="5">
        <v>79</v>
      </c>
      <c r="B83" s="3" t="inlineStr">
        <is>
          <t xml:space="preserve">Запуск</t>
        </is>
      </c>
      <c r="C83" s="3" t="inlineStr">
        <is>
          <t xml:space="preserve">Тестовая эксплуатация, 10 дней</t>
        </is>
      </c>
      <c r="D83" s="3" t="inlineStr">
        <is>
          <t xml:space="preserve">Команда PECÀN</t>
        </is>
      </c>
      <c r="E83" s="3" t="inlineStr">
        <is>
          <t xml:space="preserve">Персонал кофейни</t>
        </is>
      </c>
      <c r="F83" s="4">
        <v>46433</v>
      </c>
      <c r="G83" s="4">
        <v>46442</v>
      </c>
      <c r="H83" s="5">
        <f>G83-F83+1</f>
      </c>
      <c r="I83" s="6">
        <v>0</v>
      </c>
      <c r="J83" s="5" t="str">
        <f>IF(I83&gt;=1,"Готово",IF(G83&lt;TODAY(),"Просрочено",IF(F83&lt;=TODAY(),"В работе","В плане")))</f>
      </c>
      <c r="K83" s="5"/>
      <c r="L83" s="5" t="inlineStr">
        <is>
          <t xml:space="preserve">да</t>
        </is>
      </c>
      <c r="M83" s="10" t="inlineStr">
        <is>
          <t xml:space="preserve">Десять дней работаем в тихом режиме: закрытая фокус-группа, друзья и соседи. Замеряем скорость отдачи, собираем отзывы, находим узкие места. Результат: Список проблем найден и устранён, заказ отдаётся за стандартное время даже в пик.</t>
        </is>
      </c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</row>
    <row r="84">
      <c r="A84" s="5">
        <v>80</v>
      </c>
      <c r="B84" s="3" t="inlineStr">
        <is>
          <t xml:space="preserve">Запуск</t>
        </is>
      </c>
      <c r="C84" s="3" t="inlineStr">
        <is>
          <t xml:space="preserve">Работа в мягком режиме, доводка процессов</t>
        </is>
      </c>
      <c r="D84" s="3" t="inlineStr">
        <is>
          <t xml:space="preserve">Шефы и персонал</t>
        </is>
      </c>
      <c r="E84" s="3"/>
      <c r="F84" s="4">
        <v>46443</v>
      </c>
      <c r="G84" s="4">
        <v>46458</v>
      </c>
      <c r="H84" s="5">
        <f>G84-F84+1</f>
      </c>
      <c r="I84" s="6">
        <v>0</v>
      </c>
      <c r="J84" s="5" t="str">
        <f>IF(I84&gt;=1,"Готово",IF(G84&lt;TODAY(),"Просрочено",IF(F84&lt;=TODAY(),"В работе","В плане")))</f>
      </c>
      <c r="K84" s="5"/>
      <c r="L84" s="5"/>
      <c r="M84" s="10" t="inlineStr">
        <is>
          <t xml:space="preserve">Работаем для всех, но без громкой рекламы. Команда набирает скорость, докручиваем меню и процессы по отзывам гостей. Результат: Команда уверенно проходит пиковые часы, отзывы на картах положительные.</t>
        </is>
      </c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</row>
    <row r="85">
      <c r="A85" s="5">
        <v>81</v>
      </c>
      <c r="B85" s="3" t="inlineStr">
        <is>
          <t xml:space="preserve">Запуск</t>
        </is>
      </c>
      <c r="C85" s="17" t="inlineStr">
        <is>
          <t xml:space="preserve">Торжественное открытие</t>
        </is>
      </c>
      <c r="D85" s="3" t="inlineStr">
        <is>
          <t xml:space="preserve">Команда PECÀN</t>
        </is>
      </c>
      <c r="E85" s="3" t="inlineStr">
        <is>
          <t xml:space="preserve">Все участники</t>
        </is>
      </c>
      <c r="F85" s="4">
        <v>46459</v>
      </c>
      <c r="G85" s="4">
        <v>46459</v>
      </c>
      <c r="H85" s="5">
        <f>G85-F85+1</f>
      </c>
      <c r="I85" s="6">
        <v>0</v>
      </c>
      <c r="J85" s="5" t="str">
        <f>IF(I85&gt;=1,"Готово",IF(G85&lt;TODAY(),"Просрочено",IF(F85&lt;=TODAY(),"В работе","В плане")))</f>
      </c>
      <c r="K85" s="5" t="inlineStr">
        <is>
          <t xml:space="preserve">да</t>
        </is>
      </c>
      <c r="L85" s="5" t="inlineStr">
        <is>
          <t xml:space="preserve">да</t>
        </is>
      </c>
      <c r="M85" s="10" t="inlineStr">
        <is>
          <t xml:space="preserve">Официальное открытие PECÀN с гостями, блогерами и праздничной программой. Результат: Праздник прошёл, о PECÀN узнал район, первые публикации вышли.</t>
        </is>
      </c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</row>
    <row r="86">
      <c r="A86" s="5">
        <v>82</v>
      </c>
      <c r="B86" s="3" t="inlineStr">
        <is>
          <t xml:space="preserve">Запуск</t>
        </is>
      </c>
      <c r="C86" s="3" t="inlineStr">
        <is>
          <t xml:space="preserve">Итоговый аудит и акт, передача кофейни владельцам</t>
        </is>
      </c>
      <c r="D86" s="3" t="inlineStr">
        <is>
          <t xml:space="preserve">Команда PECÀN</t>
        </is>
      </c>
      <c r="E86" s="3"/>
      <c r="F86" s="4">
        <v>46461</v>
      </c>
      <c r="G86" s="4">
        <v>46465</v>
      </c>
      <c r="H86" s="5">
        <f>G86-F86+1</f>
      </c>
      <c r="I86" s="6">
        <v>0</v>
      </c>
      <c r="J86" s="5" t="str">
        <f>IF(I86&gt;=1,"Готово",IF(G86&lt;TODAY(),"Просрочено",IF(F86&lt;=TODAY(),"В работе","В плане")))</f>
      </c>
      <c r="K86" s="5"/>
      <c r="L86" s="5"/>
      <c r="M86" s="10" t="inlineStr">
        <is>
          <t xml:space="preserve">Проверяем работу кофейни после открытия, передаём все документы, доступы и контакты, подписываем итоговый акт. Результат: Кофейня работает самостоятельно, у владельцев есть все документы и доступы.</t>
        </is>
      </c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</row>
  </sheetData>
  <autoFilter ref="A4:M86"/>
  <conditionalFormatting sqref="N5:AN86">
    <cfRule type="expression" dxfId="0" priority="1">
      <formula>AND($D5="Команда PECÀN",$F5&lt;=N$4+6,$G5&gt;=N$4)</formula>
    </cfRule>
    <cfRule type="expression" dxfId="1" priority="2">
      <formula>AND($D5="",$F5&lt;=N$4+6,$G5&gt;=N$4)</formula>
    </cfRule>
    <cfRule type="expression" dxfId="2" priority="3">
      <formula>AND($D5="Подрядчики по дизайну",$F5&lt;=N$4+6,$G5&gt;=N$4)</formula>
    </cfRule>
    <cfRule type="expression" dxfId="3" priority="4">
      <formula>AND($D5="Строители",$F5&lt;=N$4+6,$G5&gt;=N$4)</formula>
    </cfRule>
    <cfRule type="expression" dxfId="4" priority="5">
      <formula>AND($D5="Поставщики и логистика",$F5&lt;=N$4+6,$G5&gt;=N$4)</formula>
    </cfRule>
    <cfRule type="expression" dxfId="5" priority="6">
      <formula>AND($D5="Шефы и персонал",$F5&lt;=N$4+6,$G5&gt;=N$4)</formula>
    </cfRule>
  </conditionalFormatting>
  <conditionalFormatting sqref="J5:J86">
    <cfRule type="cellIs" dxfId="6" priority="7" operator="equal">
      <formula>"Просрочено"</formula>
    </cfRule>
    <cfRule type="cellIs" dxfId="7" priority="8" operator="equal">
      <formula>"Готово"</formula>
    </cfRule>
  </conditionalFormatting>
  <dataValidations count="1">
    <dataValidation type="list" allowBlank="1" sqref="D5:D126">
      <formula1>"Команда PECÀN,Подрядчики по дизайну,Строители,Поставщики и логистика,Шефы и персонал"</formula1>
    </dataValidation>
  </dataValidations>
  <pageMargins left="0.4" right="0.4" top="0.5" bottom="0.5" header="0.3" footer="0.3"/>
  <pageSetup paperSize="8" orientation="landscape" fitToWidth="1" fitToHeight="0"/>
</worksheet>
</file>

<file path=xl/worksheets/sheet2.xml><?xml version="1.0" encoding="utf-8"?>
<worksheet xmlns="http://schemas.openxmlformats.org/spreadsheetml/2006/main">
  <sheetViews>
    <sheetView workbookViewId="0" showGridLines="0">
      <pane ySplit="4" topLeftCell="A5" activePane="bottomLeft" state="frozen"/>
    </sheetView>
  </sheetViews>
  <sheetFormatPr defaultRowHeight="18" customHeight="1"/>
  <cols>
    <col min="1" max="1" width="13" customWidth="1"/>
    <col min="2" max="2" width="48" customWidth="1"/>
    <col min="3" max="3" width="24" customWidth="1"/>
    <col min="4" max="6" width="13" customWidth="1"/>
    <col min="7" max="7" width="70" customWidth="1"/>
  </cols>
  <sheetData>
    <row r="1" ht="24" customHeight="1">
      <c r="A1" s="1" t="inlineStr">
        <is>
          <t xml:space="preserve">Вехи</t>
        </is>
      </c>
    </row>
    <row r="2">
      <c r="A2" s="9" t="inlineStr">
        <is>
          <t xml:space="preserve">Контрольные точки проекта</t>
        </is>
      </c>
    </row>
    <row r="4" ht="30" customHeight="1">
      <c r="A4" s="2" t="inlineStr">
        <is>
          <t xml:space="preserve">Дата</t>
        </is>
      </c>
      <c r="B4" s="2" t="inlineStr">
        <is>
          <t xml:space="preserve">Веха</t>
        </is>
      </c>
      <c r="C4" s="2" t="inlineStr">
        <is>
          <t xml:space="preserve">Ответственный</t>
        </is>
      </c>
      <c r="D4" s="2" t="inlineStr">
        <is>
          <t xml:space="preserve">Отметка</t>
        </is>
      </c>
      <c r="E4" s="2" t="inlineStr">
        <is>
          <t xml:space="preserve">Критический путь</t>
        </is>
      </c>
      <c r="F4" s="2" t="inlineStr">
        <is>
          <t xml:space="preserve">Осталось дней</t>
        </is>
      </c>
      <c r="G4" s="2" t="inlineStr">
        <is>
          <t xml:space="preserve">Условие и детали</t>
        </is>
      </c>
    </row>
    <row r="5">
      <c r="A5" s="4">
        <v>46292</v>
      </c>
      <c r="B5" s="3" t="inlineStr">
        <is>
          <t xml:space="preserve">Договор подписан</t>
        </is>
      </c>
      <c r="C5" s="3" t="inlineStr">
        <is>
          <t xml:space="preserve">Команда PECÀN</t>
        </is>
      </c>
      <c r="D5" s="5"/>
      <c r="E5" s="5"/>
      <c r="F5" s="5">
        <f>A5-TODAY()</f>
      </c>
      <c r="G5" s="10" t="inlineStr">
        <is>
          <t xml:space="preserve">Подписание договора на сопровождение открытия кофейни-пекарни. С этой даты идёт отсчёт всех работ.</t>
        </is>
      </c>
    </row>
    <row r="6">
      <c r="A6" s="4">
        <v>46313</v>
      </c>
      <c r="B6" s="3" t="inlineStr">
        <is>
          <t xml:space="preserve">Зонирование согласовано</t>
        </is>
      </c>
      <c r="C6" s="3" t="inlineStr">
        <is>
          <t xml:space="preserve">Команда PECÀN</t>
        </is>
      </c>
      <c r="D6" s="5"/>
      <c r="E6" s="5" t="inlineStr">
        <is>
          <t xml:space="preserve">да</t>
        </is>
      </c>
      <c r="F6" s="5">
        <f>A6-TODAY()</f>
      </c>
      <c r="G6" s="10" t="inlineStr">
        <is>
          <t xml:space="preserve">Выбор одного варианта планировки из предложенных. От него зависят проект ТХ, дизайн и работа строителей.</t>
        </is>
      </c>
    </row>
    <row r="7">
      <c r="A7" s="4">
        <v>46315</v>
      </c>
      <c r="B7" s="3" t="inlineStr">
        <is>
          <t xml:space="preserve">Защита финмодели и бюджета</t>
        </is>
      </c>
      <c r="C7" s="3" t="inlineStr">
        <is>
          <t xml:space="preserve">Команда PECÀN</t>
        </is>
      </c>
      <c r="D7" s="5"/>
      <c r="E7" s="5"/>
      <c r="F7" s="5">
        <f>A7-TODAY()</f>
      </c>
      <c r="G7" s="10" t="inlineStr">
        <is>
          <t xml:space="preserve">Встреча, на которой проходим финансовую модель и бюджет открытия: откуда каждая цифра и где можно сэкономить.</t>
        </is>
      </c>
    </row>
    <row r="8">
      <c r="A8" s="4">
        <v>46325</v>
      </c>
      <c r="B8" s="3" t="inlineStr">
        <is>
          <t xml:space="preserve">Договор подряда подписан</t>
        </is>
      </c>
      <c r="C8" s="3" t="inlineStr">
        <is>
          <t xml:space="preserve">Команда PECÀN</t>
        </is>
      </c>
      <c r="D8" s="5"/>
      <c r="E8" s="5" t="inlineStr">
        <is>
          <t xml:space="preserve">да</t>
        </is>
      </c>
      <c r="F8" s="5">
        <f>A8-TODAY()</f>
      </c>
      <c r="G8" s="10" t="inlineStr">
        <is>
          <t xml:space="preserve">Подписание договора подряда с выбранной бригадой. В договоре: сроки по этому графику, поэтапная оплата, закупка материалов по проектной смете.</t>
        </is>
      </c>
    </row>
    <row r="9">
      <c r="A9" s="4">
        <v>46325</v>
      </c>
      <c r="B9" s="3" t="inlineStr">
        <is>
          <t xml:space="preserve">Договоры на услуги по дизайну подписаны</t>
        </is>
      </c>
      <c r="C9" s="3" t="inlineStr">
        <is>
          <t xml:space="preserve">Команда PECÀN</t>
        </is>
      </c>
      <c r="D9" s="5"/>
      <c r="E9" s="5" t="inlineStr">
        <is>
          <t xml:space="preserve">да</t>
        </is>
      </c>
      <c r="F9" s="5">
        <f>A9-TODAY()</f>
      </c>
      <c r="G9" s="10" t="inlineStr">
        <is>
          <t xml:space="preserve">Договоры с выбранными исполнителями: рабочая документация, свет и розетки, вывеска, авторский надзор. В договорах фиксируются даты сдачи и оплата по этапам.</t>
        </is>
      </c>
    </row>
    <row r="10">
      <c r="A10" s="4">
        <v>46328</v>
      </c>
      <c r="B10" s="3" t="inlineStr">
        <is>
          <t xml:space="preserve">Раздел ТХ и задание на инженерные сети сданы</t>
        </is>
      </c>
      <c r="C10" s="3" t="inlineStr">
        <is>
          <t xml:space="preserve">Команда PECÀN</t>
        </is>
      </c>
      <c r="D10" s="5"/>
      <c r="E10" s="5"/>
      <c r="F10" s="5">
        <f>A10-TODAY()</f>
      </c>
      <c r="G10" s="10" t="inlineStr">
        <is>
          <t xml:space="preserve">Передача готового раздела ТХ и задания на инженерные сети. С этого момента строители могут выходить на объект и делать рабочие схемы.</t>
        </is>
      </c>
    </row>
    <row r="11">
      <c r="A11" s="4">
        <v>46328</v>
      </c>
      <c r="B11" s="3" t="inlineStr">
        <is>
          <t xml:space="preserve">Строители вышли на объект</t>
        </is>
      </c>
      <c r="C11" s="3" t="inlineStr">
        <is>
          <t xml:space="preserve">Строители</t>
        </is>
      </c>
      <c r="D11" s="5"/>
      <c r="E11" s="5"/>
      <c r="F11" s="5">
        <f>A11-TODAY()</f>
      </c>
      <c r="G11" s="10" t="inlineStr">
        <is>
          <t xml:space="preserve">Начало ремонта: бригада заходит на объект с материалами и инструментом.</t>
        </is>
      </c>
    </row>
    <row r="12">
      <c r="A12" s="4">
        <v>46346</v>
      </c>
      <c r="B12" s="3" t="inlineStr">
        <is>
          <t xml:space="preserve">Спецификации и бюджет закупок утверждены</t>
        </is>
      </c>
      <c r="C12" s="3" t="inlineStr">
        <is>
          <t xml:space="preserve">Команда PECÀN</t>
        </is>
      </c>
      <c r="D12" s="5"/>
      <c r="E12" s="5" t="inlineStr">
        <is>
          <t xml:space="preserve">да</t>
        </is>
      </c>
      <c r="F12" s="5">
        <f>A12-TODAY()</f>
      </c>
      <c r="G12" s="10" t="inlineStr">
        <is>
          <t xml:space="preserve">Утверждение списка закупок и суммы, которую готовы на них потратить.</t>
        </is>
      </c>
    </row>
    <row r="13">
      <c r="A13" s="4">
        <v>46346</v>
      </c>
      <c r="B13" s="3" t="inlineStr">
        <is>
          <t xml:space="preserve">Дизайн-проект готов полностью</t>
        </is>
      </c>
      <c r="C13" s="3" t="inlineStr">
        <is>
          <t xml:space="preserve">Команда PECÀN</t>
        </is>
      </c>
      <c r="D13" s="5"/>
      <c r="E13" s="5" t="inlineStr">
        <is>
          <t xml:space="preserve">да</t>
        </is>
      </c>
      <c r="F13" s="5">
        <f>A13-TODAY()</f>
      </c>
      <c r="G13" s="10" t="inlineStr">
        <is>
          <t xml:space="preserve">Сдача всего дизайн-проекта: концепция, визуализации, рабочая документация. Он должен быть готов до поездки в Китай, потому что по нему закупаются мебель и свет.</t>
        </is>
      </c>
    </row>
    <row r="14">
      <c r="A14" s="4">
        <v>46412</v>
      </c>
      <c r="B14" s="3" t="inlineStr">
        <is>
          <t xml:space="preserve">Приёмка строительной готовности</t>
        </is>
      </c>
      <c r="C14" s="3" t="inlineStr">
        <is>
          <t xml:space="preserve">Команда PECÀN</t>
        </is>
      </c>
      <c r="D14" s="5"/>
      <c r="E14" s="5"/>
      <c r="F14" s="5">
        <f>A14-TODAY()</f>
      </c>
      <c r="G14" s="10" t="inlineStr">
        <is>
          <t xml:space="preserve">Совместный обход помещения после ремонта: команда PECÀN, строители, дизайнер. Проверяем качество работ и готовность принять оборудование.</t>
        </is>
      </c>
    </row>
    <row r="15">
      <c r="A15" s="4">
        <v>46416</v>
      </c>
      <c r="B15" s="3" t="inlineStr">
        <is>
          <t xml:space="preserve">Штат укомплектован: 10–14 человек</t>
        </is>
      </c>
      <c r="C15" s="3" t="inlineStr">
        <is>
          <t xml:space="preserve">Команда PECÀN</t>
        </is>
      </c>
      <c r="D15" s="5"/>
      <c r="E15" s="5"/>
      <c r="F15" s="5">
        <f>A15-TODAY()</f>
      </c>
      <c r="G15" s="10" t="inlineStr">
        <is>
          <t xml:space="preserve">Финальная проверка: все должности закрыты, люди подтвердили выход.</t>
        </is>
      </c>
    </row>
    <row r="16">
      <c r="A16" s="4">
        <v>46416</v>
      </c>
      <c r="B16" s="3" t="inlineStr">
        <is>
          <t xml:space="preserve">Оборудование и мебель на объекте</t>
        </is>
      </c>
      <c r="C16" s="3" t="inlineStr">
        <is>
          <t xml:space="preserve">Поставщики и логистика</t>
        </is>
      </c>
      <c r="D16" s="5"/>
      <c r="E16" s="5" t="inlineStr">
        <is>
          <t xml:space="preserve">да</t>
        </is>
      </c>
      <c r="F16" s="5">
        <f>A16-TODAY()</f>
      </c>
      <c r="G16" s="10" t="inlineStr">
        <is>
          <t xml:space="preserve">Разгрузка и приёмка: пересчитываем места, проверяем целостность упаковки и комплектность.</t>
        </is>
      </c>
    </row>
    <row r="17">
      <c r="A17" s="4">
        <v>46427</v>
      </c>
      <c r="B17" s="3" t="inlineStr">
        <is>
          <t xml:space="preserve">Интерьер принят дизайнером по проекту</t>
        </is>
      </c>
      <c r="C17" s="3" t="inlineStr">
        <is>
          <t xml:space="preserve">Подрядчики по дизайну</t>
        </is>
      </c>
      <c r="D17" s="5"/>
      <c r="E17" s="5"/>
      <c r="F17" s="5">
        <f>A17-TODAY()</f>
      </c>
      <c r="G17" s="10" t="inlineStr">
        <is>
          <t xml:space="preserve">Финальный обход помещения с дизайнером после расстановки мебели и декора.</t>
        </is>
      </c>
    </row>
    <row r="18">
      <c r="A18" s="4">
        <v>46431</v>
      </c>
      <c r="B18" s="3" t="inlineStr">
        <is>
          <t xml:space="preserve">Аттестация команды</t>
        </is>
      </c>
      <c r="C18" s="3" t="inlineStr">
        <is>
          <t xml:space="preserve">Команда PECÀN</t>
        </is>
      </c>
      <c r="D18" s="5"/>
      <c r="E18" s="5" t="inlineStr">
        <is>
          <t xml:space="preserve">да</t>
        </is>
      </c>
      <c r="F18" s="5">
        <f>A18-TODAY()</f>
      </c>
      <c r="G18" s="10" t="inlineStr">
        <is>
          <t xml:space="preserve">Экзамен для каждого сотрудника: теория по меню и стандартам плюс практика на рабочем месте.</t>
        </is>
      </c>
    </row>
    <row r="19">
      <c r="A19" s="4">
        <v>46433</v>
      </c>
      <c r="B19" s="3" t="inlineStr">
        <is>
          <t xml:space="preserve">Техническое открытие</t>
        </is>
      </c>
      <c r="C19" s="3" t="inlineStr">
        <is>
          <t xml:space="preserve">Команда PECÀN</t>
        </is>
      </c>
      <c r="D19" s="5"/>
      <c r="E19" s="5" t="inlineStr">
        <is>
          <t xml:space="preserve">да</t>
        </is>
      </c>
      <c r="F19" s="5">
        <f>A19-TODAY()</f>
      </c>
      <c r="G19" s="10" t="inlineStr">
        <is>
          <t xml:space="preserve">Первый рабочий день без рекламы и вывески о запуске. Принимаем первых гостей и проверяем все процессы в реальной работе.</t>
        </is>
      </c>
    </row>
    <row r="20">
      <c r="A20" s="4">
        <v>46459</v>
      </c>
      <c r="B20" s="3" t="inlineStr">
        <is>
          <t xml:space="preserve">Торжественное открытие</t>
        </is>
      </c>
      <c r="C20" s="3" t="inlineStr">
        <is>
          <t xml:space="preserve">Команда PECÀN</t>
        </is>
      </c>
      <c r="D20" s="5"/>
      <c r="E20" s="5" t="inlineStr">
        <is>
          <t xml:space="preserve">да</t>
        </is>
      </c>
      <c r="F20" s="5">
        <f>A20-TODAY()</f>
      </c>
      <c r="G20" s="10" t="inlineStr">
        <is>
          <t xml:space="preserve">Официальное открытие PECÀN с гостями, блогерами и праздничной программой.</t>
        </is>
      </c>
    </row>
    <row r="22">
      <c r="A22" s="17" t="inlineStr">
        <is>
          <t xml:space="preserve">На чём держится график</t>
        </is>
      </c>
    </row>
    <row r="23">
      <c r="A23" s="0" t="inlineStr">
        <is>
          <t xml:space="preserve">Проектная документация дизайна готова полностью до выезда в Китай: по ней собираются закупочные спецификации.</t>
        </is>
      </c>
    </row>
    <row r="24">
      <c r="A24" s="0" t="inlineStr">
        <is>
          <t xml:space="preserve">Фабричные заказы отгружаются до Китайского Нового года (6 февраля 2027). Опоздание сдвигает открытие на 3–4 недели.</t>
        </is>
      </c>
    </row>
    <row r="25">
      <c r="A25" s="0" t="inlineStr">
        <is>
          <t xml:space="preserve">Сроки доставки и таможни зависят от перевозчика и терминалов на границе. После прибытия груза на монтаж и пусконаладку нужно до 14 дней.</t>
        </is>
      </c>
    </row>
    <row r="26">
      <c r="A26" s="0" t="inlineStr">
        <is>
          <t xml:space="preserve">Материалы согласуются за 3 рабочих дня. Каждый день задержки согласования сдвигает зависимые работы.</t>
        </is>
      </c>
    </row>
    <row r="27">
      <c r="A27" s="0" t="inlineStr">
        <is>
          <t xml:space="preserve">Торжественное открытие назначено на субботу после Ораза айта и до Наурыза. Дату уточняем в январе.</t>
        </is>
      </c>
    </row>
  </sheetData>
  <pageMargins left="0.4" right="0.4" top="0.5" bottom="0.5" header="0.3" footer="0.3"/>
  <pageSetup paperSize="9" orientation="landscape"/>
</worksheet>
</file>

<file path=xl/worksheets/sheet3.xml><?xml version="1.0" encoding="utf-8"?>
<worksheet xmlns="http://schemas.openxmlformats.org/spreadsheetml/2006/main">
  <sheetViews>
    <sheetView workbookViewId="0" showGridLines="0"/>
  </sheetViews>
  <sheetFormatPr defaultRowHeight="18"/>
  <cols>
    <col min="1" max="1" width="26" customWidth="1"/>
    <col min="2" max="2" width="40" customWidth="1"/>
    <col min="3" max="3" width="12" customWidth="1"/>
    <col min="4" max="4" width="80" customWidth="1"/>
  </cols>
  <sheetData>
    <row r="1" ht="24" customHeight="1">
      <c r="A1" s="1" t="inlineStr">
        <is>
          <t xml:space="preserve">Роли и зоны ответственности</t>
        </is>
      </c>
    </row>
    <row r="2">
      <c r="A2" s="9" t="inlineStr">
        <is>
          <t xml:space="preserve">Цвет роли совпадает с цветом полос на листе «График»</t>
        </is>
      </c>
    </row>
    <row r="4" ht="30" customHeight="1">
      <c r="A4" s="2" t="inlineStr">
        <is>
          <t xml:space="preserve">Роль</t>
        </is>
      </c>
      <c r="B4" s="2" t="inlineStr">
        <is>
          <t xml:space="preserve">Кто</t>
        </is>
      </c>
      <c r="C4" s="2" t="inlineStr">
        <is>
          <t xml:space="preserve">Задач в плане</t>
        </is>
      </c>
      <c r="D4" s="2" t="inlineStr">
        <is>
          <t xml:space="preserve">Зона ответственности</t>
        </is>
      </c>
    </row>
    <row r="5" ht="134" customHeight="1">
      <c r="A5" s="11" t="inlineStr">
        <is>
          <t xml:space="preserve">Команда PECÀN</t>
        </is>
      </c>
      <c r="B5" s="3" t="inlineStr">
        <is>
          <t xml:space="preserve">Основатели и Gastro Ultima</t>
        </is>
      </c>
      <c r="C5" s="5">
        <f>COUNTIF('График'!D:D,A5)</f>
      </c>
      <c r="D5" s="3" t="inlineStr">
        <is>
          <t xml:space="preserve">• Ведёт проект целиком: график, решения, согласования, бюджет
• Аналитика локации, финансовая модель, маркетинговая стратегия
• Технологический проект, задание на инженерные сети, технологический надзор
• Концепция интерьера и 3D-визуализации, выбор подрядчиков по дизайну и строительной бригады
• Спецификации, выездная сессия в Китае, оплата оборудования и логистики
• Юрлицо, счёт, договоры с ЖКХ и поставщиками сырья
• Подбор команды, обучение, аттестация
• iiko, лояльность, стандарты, ХАССП, запуск и открытие</t>
        </is>
      </c>
    </row>
    <row r="6" ht="70" customHeight="1">
      <c r="A6" s="13" t="inlineStr">
        <is>
          <t xml:space="preserve">Подрядчики по дизайну</t>
        </is>
      </c>
      <c r="B6" s="3" t="inlineStr">
        <is>
          <t xml:space="preserve">Точечные услуги · выбираем до 30 октября</t>
        </is>
      </c>
      <c r="C6" s="5">
        <f>COUNTIF('График'!D:D,A6)</f>
      </c>
      <c r="D6" s="3" t="inlineStr">
        <is>
          <t xml:space="preserve">• Рабочие чертежи для строителей, ведомости отделки и мебели, смета
• План освещения, розеток и выключателей
• Эскиз фасадной вывески
• Авторский надзор за отделкой и декором</t>
        </is>
      </c>
    </row>
    <row r="7" ht="102" customHeight="1">
      <c r="A7" s="14" t="inlineStr">
        <is>
          <t xml:space="preserve">Строители</t>
        </is>
      </c>
      <c r="B7" s="3" t="inlineStr">
        <is>
          <t xml:space="preserve">Новая бригада · выбираем до 30 октября</t>
        </is>
      </c>
      <c r="C7" s="5">
        <f>COUNTIF('График'!D:D,A7)</f>
      </c>
      <c r="D7" s="3" t="inlineStr">
        <is>
          <t xml:space="preserve">• Черновые работы и перегородки по проекту
• Рабочие схемы сетей с расчётами
• Электрика 380 В, вода, канализация, трапы, жироуловитель
• Вентиляция и кондиционирование
• Чистовая отделка, свет, сантехника
• Сдача помещения по акту строительной готовности</t>
        </is>
      </c>
    </row>
    <row r="8" ht="70" customHeight="1">
      <c r="A8" s="15" t="inlineStr">
        <is>
          <t xml:space="preserve">Поставщики и логистика</t>
        </is>
      </c>
      <c r="B8" s="3" t="inlineStr">
        <is>
          <t xml:space="preserve">Фабрики КНР, дилер кофемашины, карго, таможня</t>
        </is>
      </c>
      <c r="C8" s="5">
        <f>COUNTIF('График'!D:D,A8)</f>
      </c>
      <c r="D8" s="3" t="inlineStr">
        <is>
          <t xml:space="preserve">• Производство оборудования, мебели, света, посуды
• Поставка кофемашины от дилера в Казахстане
• Отгрузка до Китайского Нового года
• Доставка, таможенное оформление, разгрузка на объекте</t>
        </is>
      </c>
    </row>
    <row r="9" ht="70" customHeight="1">
      <c r="A9" s="16" t="inlineStr">
        <is>
          <t xml:space="preserve">Шефы и персонал</t>
        </is>
      </c>
      <c r="B9" s="3" t="inlineStr">
        <is>
          <t xml:space="preserve">Шеф-пекарь, шеф-бариста, управляющий, линейный персонал</t>
        </is>
      </c>
      <c r="C9" s="5">
        <f>COUNTIF('График'!D:D,A9)</f>
      </c>
      <c r="D9" s="3" t="inlineStr">
        <is>
          <t xml:space="preserve">• Рецептуры и технологические карты
• Проработки и дегустации меню
• Обучение в Академии PECÀN и аттестация
• Работа смен в тестовом режиме и на открытии</t>
        </is>
      </c>
    </row>
  </sheetData>
  <pageMargins left="0.4" right="0.4" top="0.5" bottom="0.5" header="0.3" footer="0.3"/>
  <pageSetup paperSize="9" orientation="landscape"/>
</worksheet>
</file>