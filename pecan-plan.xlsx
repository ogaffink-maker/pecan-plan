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Gastro Ultima · состояние на 4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Заказчик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Gastro Ultima</t>
        </is>
      </c>
      <c r="E6" s="3" t="inlineStr">
        <is>
          <t xml:space="preserve">Заказчик</t>
        </is>
      </c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Gastro Ultima</t>
        </is>
      </c>
      <c r="E7" s="3"/>
      <c r="F7" s="4">
        <v>46293</v>
      </c>
      <c r="G7" s="4">
        <v>46300</v>
      </c>
      <c r="H7" s="5">
        <f>G7-F7+1</f>
      </c>
      <c r="I7" s="6">
        <v>0.9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Заказчик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Gastro Ultima</t>
        </is>
      </c>
      <c r="E9" s="3"/>
      <c r="F9" s="4">
        <v>46293</v>
      </c>
      <c r="G9" s="4">
        <v>46304</v>
      </c>
      <c r="H9" s="5">
        <f>G9-F9+1</f>
      </c>
      <c r="I9" s="6">
        <v>0.1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Gastro Ultima</t>
        </is>
      </c>
      <c r="E10" s="3"/>
      <c r="F10" s="4">
        <v>46293</v>
      </c>
      <c r="G10" s="4">
        <v>46306</v>
      </c>
      <c r="H10" s="5">
        <f>G10-F10+1</f>
      </c>
      <c r="I10" s="6">
        <v>0.1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Gastro Ultima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Gastro Ultima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Gastro Ultima</t>
        </is>
      </c>
      <c r="E13" s="3" t="inlineStr">
        <is>
          <t xml:space="preserve">Заказчик</t>
        </is>
      </c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Gastro Ultima</t>
        </is>
      </c>
      <c r="E14" s="3"/>
      <c r="F14" s="4">
        <v>46293</v>
      </c>
      <c r="G14" s="4">
        <v>46304</v>
      </c>
      <c r="H14" s="5">
        <f>G14-F14+1</f>
      </c>
      <c r="I14" s="6">
        <v>0.2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Gastro Ultima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Заказчик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Gastro Ultima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Gastro Ultima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Gastro Ultima</t>
        </is>
      </c>
      <c r="E19" s="3" t="inlineStr">
        <is>
          <t xml:space="preserve">Заказчик</t>
        </is>
      </c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 вместе с заказчиком.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Заказчик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от заказчика, стилистика по брендбуку, технологическое зонирование от Gastro Ultima.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Gastro Ultima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Заказчик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 t="inlineStr">
        <is>
          <t xml:space="preserve">Заказчик, Gastro Ultima</t>
        </is>
      </c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Gastro Ultima</t>
        </is>
      </c>
      <c r="E29" s="3" t="inlineStr">
        <is>
          <t xml:space="preserve">Заказчик</t>
        </is>
      </c>
      <c r="F29" s="4">
        <v>46300</v>
      </c>
      <c r="G29" s="4">
        <v>46311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Gastro Ultima</t>
        </is>
      </c>
      <c r="E30" s="3" t="inlineStr">
        <is>
          <t xml:space="preserve">Заказчик</t>
        </is>
      </c>
      <c r="F30" s="4">
        <v>46314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Заказчик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Gastro Ultima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Gastro Ultima</t>
        </is>
      </c>
      <c r="E39" s="3" t="inlineStr">
        <is>
          <t xml:space="preserve">Заказчик, 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Gastro Ultima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Gastro Ultima</t>
        </is>
      </c>
      <c r="E42" s="3" t="inlineStr">
        <is>
          <t xml:space="preserve">Заказчик</t>
        </is>
      </c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Gastro Ultima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Заказчик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Gastro Ultima</t>
        </is>
      </c>
      <c r="E45" s="3" t="inlineStr">
        <is>
          <t xml:space="preserve">Заказчик</t>
        </is>
      </c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Заказчик</t>
        </is>
      </c>
      <c r="E46" s="3" t="inlineStr">
        <is>
          <t xml:space="preserve">Gastro Ultima</t>
        </is>
      </c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печей, расстойки, кофемашины</t>
        </is>
      </c>
      <c r="D47" s="3" t="inlineStr">
        <is>
          <t xml:space="preserve">Заказчик</t>
        </is>
      </c>
      <c r="E47" s="3" t="inlineStr">
        <is>
          <t xml:space="preserve">Gastro Ultima</t>
        </is>
      </c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Gastro Ultima: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Gastro Ultima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Gastro Ultima</t>
        </is>
      </c>
      <c r="E55" s="3" t="inlineStr">
        <is>
          <t xml:space="preserve">Заказчик: договор и гонорар</t>
        </is>
      </c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Gastro Ultima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Gastro Ultima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Заказчик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Gastro Ultima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Gastro Ultima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команда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Заказчик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Gastro Ultima</t>
        </is>
      </c>
      <c r="E63" s="3" t="inlineStr">
        <is>
          <t xml:space="preserve">Заказчик</t>
        </is>
      </c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команда</t>
        </is>
      </c>
      <c r="E64" s="3" t="inlineStr">
        <is>
          <t xml:space="preserve">Заказчик, Gastro Ultima</t>
        </is>
      </c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Заказчик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Gastro Ultima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Gastro Ultima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Gastro Ultima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Gastro Ultima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Gastro Ultima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Gastro Ultima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Gastro Ultima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Заказчик</t>
        </is>
      </c>
      <c r="E73" s="3" t="inlineStr">
        <is>
          <t xml:space="preserve">Gastro Ultima</t>
        </is>
      </c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Gastro Ultima</t>
        </is>
      </c>
      <c r="E74" s="3" t="inlineStr">
        <is>
          <t xml:space="preserve">Команда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Gastro Ultima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Gastro Ultima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Заказчик</t>
        </is>
      </c>
      <c r="E77" s="3" t="inlineStr">
        <is>
          <t xml:space="preserve">Gastro Ultima: медиаплан и ТЗ</t>
        </is>
      </c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Gastro Ultima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Gastro Ultima</t>
        </is>
      </c>
      <c r="E79" s="3" t="inlineStr">
        <is>
          <t xml:space="preserve">Заказчик: блогеры, подарочный фонд</t>
        </is>
      </c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Заказчик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Gastro Ultima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Gastro Ultima</t>
        </is>
      </c>
      <c r="E82" s="3" t="inlineStr">
        <is>
          <t xml:space="preserve">Команда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команда</t>
        </is>
      </c>
      <c r="E83" s="3" t="inlineStr">
        <is>
          <t xml:space="preserve">Gastro Ultima</t>
        </is>
      </c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Gastro Ultima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Gastro Ultima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AND($D5="Gastro Ultima",$F5&lt;=N$4+6,$G5&gt;=N$4)</formula>
    </cfRule>
    <cfRule type="expression" dxfId="1" priority="2">
      <formula>AND($D5="Заказчик",$F5&lt;=N$4+6,$G5&gt;=N$4)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команда",$F5&lt;=N$4+6,$G5&gt;=N$4)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"Gastro Ultima,Заказчик,Дизайн-студия,Строители,Поставщики и логистика,Шефы и команда"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Gastro Ultima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Заказчик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Заказчик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Gastro Ultima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Заказчик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Gastro Ultima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Заказчик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Gastro Ultima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Gastro Ultima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Gastro Ultima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Gastro Ultima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Gastro Ultima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Заказчик согласует материалы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02" customHeight="1">
      <c r="A5" s="11" t="inlineStr">
        <is>
          <t xml:space="preserve">Gastro Ultima</t>
        </is>
      </c>
      <c r="B5" s="3" t="inlineStr">
        <is>
          <t xml:space="preserve">Консалтинг и управление проектом</t>
        </is>
      </c>
      <c r="C5" s="5">
        <f>COUNTIF('График'!D:D,A5)</f>
      </c>
      <c r="D5" s="3" t="inlineStr">
        <is>
          <t xml:space="preserve">• Ведёт проект целиком: график, контрольные точки, отчётность
• Аналитика локации, финансовая модель, маркетинговая стратегия
• Технологический проект (ТХ), инженерные ТЗ, технологический надзор
• Спецификации оснащения и выездная сессия в Китае
• Подбор команды, обучение, аттестация
• iiko, лояльность, стандарты, ХАССП, сопровождение открытия</t>
        </is>
      </c>
    </row>
    <row r="6" ht="86" customHeight="1">
      <c r="A6" s="12" t="inlineStr">
        <is>
          <t xml:space="preserve">Заказчик</t>
        </is>
      </c>
      <c r="B6" s="3" t="inlineStr">
        <is>
          <t xml:space="preserve">Инвестор и владелец</t>
        </is>
      </c>
      <c r="C6" s="5">
        <f>COUNTIF('График'!D:D,A6)</f>
      </c>
      <c r="D6" s="3" t="inlineStr">
        <is>
          <t xml:space="preserve">• Согласует материалы в течение 3 рабочих дней
• Регистрирует ТОО, открывает счёт, заключает договоры
• Оплачивает строителей, дизайн, оборудование, логистику и таможню
• Финансирует рекламу, вывеску, полиграфию, упаковку
• Закупает первый товарный запас и расходники</t>
        </is>
      </c>
    </row>
    <row r="7" ht="86" customHeight="1">
      <c r="A7" s="13" t="inlineStr">
        <is>
          <t xml:space="preserve">Дизайн-студия</t>
        </is>
      </c>
      <c r="B7" s="3" t="inlineStr">
        <is>
          <t xml:space="preserve">Новый подрядчик · выбираем до 16 октября</t>
        </is>
      </c>
      <c r="C7" s="5">
        <f>COUNTIF('График'!D:D,A7)</f>
      </c>
      <c r="D7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8" ht="86" customHeight="1">
      <c r="A8" s="14" t="inlineStr">
        <is>
          <t xml:space="preserve">Строители</t>
        </is>
      </c>
      <c r="B8" s="3" t="inlineStr">
        <is>
          <t xml:space="preserve">Новая бригада · выбираем до 30 октября</t>
        </is>
      </c>
      <c r="C8" s="5">
        <f>COUNTIF('График'!D:D,A8)</f>
      </c>
      <c r="D8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9" ht="70" customHeight="1">
      <c r="A9" s="15" t="inlineStr">
        <is>
          <t xml:space="preserve">Поставщики и логистика</t>
        </is>
      </c>
      <c r="B9" s="3" t="inlineStr">
        <is>
          <t xml:space="preserve">Фабрики КНР, европейские линии, карго, таможня</t>
        </is>
      </c>
      <c r="C9" s="5">
        <f>COUNTIF('График'!D:D,A9)</f>
      </c>
      <c r="D9" s="3" t="inlineStr">
        <is>
          <t xml:space="preserve">• Производство мебели, света, посуды, нейтрального оборудования
• Поставка печей, расстойки, кофемашины
• Отгрузка до Китайского Нового года
• Доставка, таможенное оформление, разгрузка на объекте</t>
        </is>
      </c>
    </row>
    <row r="10" ht="70" customHeight="1">
      <c r="A10" s="16" t="inlineStr">
        <is>
          <t xml:space="preserve">Шефы и команда</t>
        </is>
      </c>
      <c r="B10" s="3" t="inlineStr">
        <is>
          <t xml:space="preserve">Шеф-пекарь, шеф-бариста, управляющий, линейный персонал</t>
        </is>
      </c>
      <c r="C10" s="5">
        <f>COUNTIF('График'!D:D,A10)</f>
      </c>
      <c r="D10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