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'График'!$A$4:$M$86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862837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862837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F7DC9F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команда PECÀN · состояние на 5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Описание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Команда PECÀN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 t="inlineStr">
        <is>
          <t xml:space="preserve">Передача исходных материалов по проекту: заполненный бриф, обмерный план помещения 120,67 м², айдентика и брендбук. Результат: Все исходные документы лежат в общем чате, по ним можно начинать аналитику и планировку.</t>
        </is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Команда PECÀN</t>
        </is>
      </c>
      <c r="E6" s="3"/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 t="inlineStr">
        <is>
          <t xml:space="preserve">Подписание договора на сопровождение открытия кофейни-пекарни. С этой даты идёт отсчёт всех работ. Результат: Договор подписан обеими сторонами, у каждой стороны свой экземпляр.</t>
        </is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Команда PECÀN</t>
        </is>
      </c>
      <c r="E7" s="3"/>
      <c r="F7" s="4">
        <v>46293</v>
      </c>
      <c r="G7" s="4">
        <v>46300</v>
      </c>
      <c r="H7" s="5">
        <f>G7-F7+1</f>
      </c>
      <c r="I7" s="6">
        <v>1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Собираем все работы проекта в один график: что делаем, в какие сроки, кто отвечает, какие даты ключевые. По нему дальше отчитываемся на еженедельных созвонах. Результат: График согласован и закреплён в общем чате, все участники знают свои сроки.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Команда PECÀN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Регистрация ТОО на двух учредителей и открытие расчётного счёта. Основной ОКЭД 56101, режим упрощённой декларации выбирается сразу при регистрации. Юрлицо нужно для договоров с подрядчиками, поставщиками, ЖКХ и для импорта оборудования. Результат: ТОО зарегистрировано, счёт открыт, реквизиты переданы в общий чат.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Команда PECÀN</t>
        </is>
      </c>
      <c r="E9" s="3"/>
      <c r="F9" s="4">
        <v>46293</v>
      </c>
      <c r="G9" s="4">
        <v>46304</v>
      </c>
      <c r="H9" s="5">
        <f>G9-F9+1</f>
      </c>
      <c r="I9" s="6">
        <v>0.5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Обходим и изучаем кофейни и пекарни в радиусе района: меню, цены, средний чек, загрузку по времени, сильные и слабые стороны. Смотрим, чего району не хватает. Результат: Сводная таблица конкурентов и вывод: в чём PECÀN будет отличаться и какой средний чек закладывать.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Замер проходящего и проезжающего трафика у входа</t>
        </is>
      </c>
      <c r="D10" s="3" t="inlineStr">
        <is>
          <t xml:space="preserve">Команда PECÀN</t>
        </is>
      </c>
      <c r="E10" s="3"/>
      <c r="F10" s="4">
        <v>46293</v>
      </c>
      <c r="G10" s="4">
        <v>46306</v>
      </c>
      <c r="H10" s="5">
        <f>G10-F10+1</f>
      </c>
      <c r="I10" s="6">
        <v>0.5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Вход в кофейню выходит на внутреннюю аллею, поэтому считаем именно её: людей, которые проходят мимо входа, и машины, которые проезжают по аллее. Припаркованные машины не учитываем. Замеры в часы пик: утро 07:30–09:30, обед 12:30–14:30, вечер 17:30–20:00, отдельно выходные. По этим цифрам рассчитываем, сколько гостей и чеков реально получить в день. Результат: Отчёт с цифрами потока по часам и дням недели и расчётом ожидаемого числа чеков.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Финансовая модель: CAPEX, OPEX, P&amp;L, Cash Flow</t>
        </is>
      </c>
      <c r="D11" s="3" t="inlineStr">
        <is>
          <t xml:space="preserve">Команда PECÀN</t>
        </is>
      </c>
      <c r="E11" s="3"/>
      <c r="F11" s="4">
        <v>46300</v>
      </c>
      <c r="G11" s="4">
        <v>46313</v>
      </c>
      <c r="H11" s="5">
        <f>G11-F11+1</f>
      </c>
      <c r="I11" s="6">
        <v>0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Считаем экономику проекта: сколько нужно вложить (CAPEX), ежемесячные расходы (OPEX), прогноз прибыли и убытков, движение денег по месяцам. Цифры опираются на замер трафика и анализ конкурентов. Результат: Модель в Excel с точкой безубыточности, сроком окупаемости и бюджетом открытия, который укладывается в ваш лимит.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Маркетинговая стратегия и ассортиментная матрица</t>
        </is>
      </c>
      <c r="D12" s="3" t="inlineStr">
        <is>
          <t xml:space="preserve">Команда PECÀN</t>
        </is>
      </c>
      <c r="E12" s="3"/>
      <c r="F12" s="4">
        <v>46300</v>
      </c>
      <c r="G12" s="4">
        <v>46318</v>
      </c>
      <c r="H12" s="5">
        <f>G12-F12+1</f>
      </c>
      <c r="I12" s="6">
        <v>0</v>
      </c>
      <c r="J12" s="5" t="str">
        <f>IF(I12&gt;=1,"Готово",IF(G12&lt;TODAY(),"Просрочено",IF(F12&lt;=TODAY(),"В работе","В плане")))</f>
      </c>
      <c r="K12" s="5"/>
      <c r="L12" s="5"/>
      <c r="M12" s="10" t="inlineStr">
        <is>
          <t xml:space="preserve">Формулируем, для кого PECÀN и чем он запоминается, собираем ассортиментную матрицу: категории, ценовые уровни, хиты. Продумываем механики привлечения соседей и программу лояльности. Результат: Документ со стратегией запуска и ассортиментной матрицей, с которой можно идти к шефам за меню.</t>
        </is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Команда PECÀN</t>
        </is>
      </c>
      <c r="E13" s="3"/>
      <c r="F13" s="4">
        <v>46315</v>
      </c>
      <c r="G13" s="4">
        <v>46315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 t="inlineStr">
        <is>
          <t xml:space="preserve">Встреча, на которой проходим финансовую модель и бюджет открытия: откуда каждая цифра и где можно сэкономить. Результат: Бюджет открытия утверждён, вопросов по цифрам не осталось.</t>
        </is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Команда PECÀN</t>
        </is>
      </c>
      <c r="E14" s="3"/>
      <c r="F14" s="4">
        <v>46293</v>
      </c>
      <c r="G14" s="4">
        <v>46304</v>
      </c>
      <c r="H14" s="5">
        <f>G14-F14+1</f>
      </c>
      <c r="I14" s="6">
        <v>0.5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Раскладываем 120 м² на зоны: зал на 20–25 мест, бар с витриной, пекарня, заготовочная, мойка, склад, санузлы. Готовим несколько вариантов и проверяем, чтобы потоки гостей, продуктов и грязной посуды не пересекались. Оцениваем антресоль при высоте потолка 4,52 м. Результат: Два–три варианта планировки с плюсами и минусами каждого, готовые к выбору.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Команда PECÀN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 t="inlineStr">
        <is>
          <t xml:space="preserve">Технологический проект: чертежи с расстановкой всего оборудования и привязкой к коммуникациям, по нормам СанПиН и ХАССП. Это основной документ для строителей и для закупки оборудования. Результат: Комплект чертежей раздела ТХ, по которому можно строить и заказывать оборудование.</t>
        </is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Команда PECÀN</t>
        </is>
      </c>
      <c r="E16" s="3"/>
      <c r="F16" s="4">
        <v>46309</v>
      </c>
      <c r="G16" s="4">
        <v>46309</v>
      </c>
      <c r="H16" s="5">
        <f>G16-F16+1</f>
      </c>
      <c r="I16" s="6">
        <v>0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 t="inlineStr">
        <is>
          <t xml:space="preserve">Выбор одного варианта планировки из предложенных. От него зависят проект ТХ, дизайн и работа строителей. Результат: Вариант планировки письменно подтверждён в чате, дальше работаем только по нему.</t>
        </is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Задание на инженерные сети: точки подключения и нагрузки оборудования</t>
        </is>
      </c>
      <c r="D17" s="3" t="inlineStr">
        <is>
          <t xml:space="preserve">Команда PECÀN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 t="inlineStr">
        <is>
          <t xml:space="preserve">Команда PECÀN описывает, что нужно оборудованию: где какая розетка и какой мощности, включая 380 В для печей, где подвести воду и канализацию, где поставить трапы, какая вытяжка нужна над печами и плитой. Это задание для инженеров бригады: сами схемы и расчёты кабелей, труб и воздуховодов делают они. Результат: Задание по электрике, воде, канализации и вентиляции, по которому бригада делает рабочие схемы и считает смету.</t>
        </is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задание на инженерные сети сданы</t>
        </is>
      </c>
      <c r="D18" s="3" t="inlineStr">
        <is>
          <t xml:space="preserve">Команда PECÀN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 t="inlineStr">
        <is>
          <t xml:space="preserve">Передача готового раздела ТХ и задания на инженерные сети. С этого момента строители могут выходить на объект и делать рабочие схемы. Результат: Чертежи и задание переданы, замечаний нет.</t>
        </is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Поиск нового дизайн-подрядчика: портфолио, предложения, выбор</t>
        </is>
      </c>
      <c r="D19" s="3" t="inlineStr">
        <is>
          <t xml:space="preserve">Команда PECÀN</t>
        </is>
      </c>
      <c r="E19" s="3"/>
      <c r="F19" s="4">
        <v>46300</v>
      </c>
      <c r="G19" s="4">
        <v>46311</v>
      </c>
      <c r="H19" s="5">
        <f>G19-F19+1</f>
      </c>
      <c r="I19" s="6">
        <v>0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Ищем дизайн-студию с нуля. Отбираем студии с опытом в кофейнях и пекарнях, смотрим портфолио и реализованные объекты, запрашиваем предложения по срокам и стоимости. Авторский надзор включаем в договор сразу. Результат: Короткий список из двух–трёх студий со сравнением: стиль, сроки, стоимость, загрузка.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17" t="inlineStr">
        <is>
          <t xml:space="preserve">Договор с дизайн-студией подписан</t>
        </is>
      </c>
      <c r="D20" s="3" t="inlineStr">
        <is>
          <t xml:space="preserve">Команда PECÀN</t>
        </is>
      </c>
      <c r="E20" s="3"/>
      <c r="F20" s="4">
        <v>46311</v>
      </c>
      <c r="G20" s="4">
        <v>46311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 t="inlineStr">
        <is>
          <t xml:space="preserve">да</t>
        </is>
      </c>
      <c r="L20" s="5" t="inlineStr">
        <is>
          <t xml:space="preserve">да</t>
        </is>
      </c>
      <c r="M20" s="10" t="inlineStr">
        <is>
          <t xml:space="preserve">Выбор студии и подписание договора на дизайн-проект и авторский надзор. В договоре фиксируются три даты сдачи. Результат: Договор со студией подписан, студия получила исходные материалы и приступила к работе.</t>
        </is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Концепция интерьера и планировочное решение</t>
        </is>
      </c>
      <c r="D21" s="3" t="inlineStr">
        <is>
          <t xml:space="preserve">Дизайн-студия</t>
        </is>
      </c>
      <c r="E21" s="3"/>
      <c r="F21" s="4">
        <v>46314</v>
      </c>
      <c r="G21" s="4">
        <v>46325</v>
      </c>
      <c r="H21" s="5">
        <f>G21-F21+1</f>
      </c>
      <c r="I21" s="6">
        <v>0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Студия предлагает образ интерьера: настроение, материалы, цвета, свет, расстановку мебели. Опирается на брендбук, референсы и утверждённое технологическое зонирование от команды PECÀN. Результат: Концепция и планировочное решение согласованы, можно делать визуализации.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3" t="inlineStr">
        <is>
          <t xml:space="preserve">3D-визуализации интерьера</t>
        </is>
      </c>
      <c r="D22" s="3" t="inlineStr">
        <is>
          <t xml:space="preserve">Дизайн-студия</t>
        </is>
      </c>
      <c r="E22" s="3"/>
      <c r="F22" s="4">
        <v>46321</v>
      </c>
      <c r="G22" s="4">
        <v>46332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/>
      <c r="L22" s="5" t="inlineStr">
        <is>
          <t xml:space="preserve">да</t>
        </is>
      </c>
      <c r="M22" s="10" t="inlineStr">
        <is>
          <t xml:space="preserve">Реалистичные картинки будущего интерьера с основных ракурсов: вход, бар и витрина, зал, санузел. Результат: Визуализации согласованы: вы видите, как будет выглядеть кофейня, и вам это нравится.</t>
        </is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Команда PECÀN</t>
        </is>
      </c>
      <c r="E23" s="3" t="inlineStr">
        <is>
          <t xml:space="preserve">Дизайн-студия</t>
        </is>
      </c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 t="inlineStr">
        <is>
          <t xml:space="preserve">Проверяем, что красивый интерьер не ломает рабочие процессы: хватает ли места бариста, проходит ли поток гостей, помещается ли оборудование. Результат: Список правок для студии либо подтверждение, что расхождений с ТХ нет.</t>
        </is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Дизайн-студия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 для строителей, план освещения, план розеток и выключателей в зале, ведомости отделки, мебели и освещения, проектная смета. Срок сжатый: пять недель от договора до полного комплекта. Результат: Полный комплект документации, по которому строители работают без вопросов, а мы собираем закупочные спецификации. Как снижаем риск: В договоре со студией закрепить три даты сдачи: планировка 30 октября, визуализации 6 ноября, рабочая документация 20 ноября. Оплата по этапам.; Выбирать студию с готовой командой: дизайнер, визуализатор, чертёжник. Спросить о текущей загрузке.; В первый день передать студии технологическое зонирование, брендбук и референсы.; Ведомости мебели, света и отделки получить первыми, к 13 ноября: они нужны для поездки в Китай.; Согласовывать материалы студии за 1–2 дня, а не за 3.; Строители выходят 2 ноября по проекту ТХ и не ждут дизайн.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Дизайн-студия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Дизайнер регулярно приезжает на объект, пока идут отделка и монтаж: проверяет соответствие проекту, согласует замены материалов, отвечает на вопросы бригады. Входит в договор со студией. Результат: Интерьер построен так, как на визуализациях, отступления от проекта согласованы заранее.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Команда PECÀN</t>
        </is>
      </c>
      <c r="E26" s="3" t="inlineStr">
        <is>
          <t xml:space="preserve">Дизайн-студия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 t="inlineStr">
        <is>
          <t xml:space="preserve">Фасадная вывеска по брендбуку: эскиз, согласование размещения, изготовление и монтаж. Результат: Вывеска висит на фасаде и подсвечивается, размещение согласовано.</t>
        </is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Дизайн-студия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 t="inlineStr">
        <is>
          <t xml:space="preserve">Сдача всего дизайн-проекта. Он должен быть готов до поездки в Китай, потому что по нему закупаются мебель и свет. Результат: Проект принят целиком, правок не осталось.</t>
        </is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Дизайн-студия</t>
        </is>
      </c>
      <c r="E28" s="3"/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 t="inlineStr">
        <is>
          <t xml:space="preserve">Финальный обход помещения с дизайнером после расстановки мебели и декора. Результат: Дизайнер подтверждает, что интерьер соответствует проекту, список мелких доделок закрыт.</t>
        </is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Команда PECÀN</t>
        </is>
      </c>
      <c r="E29" s="3"/>
      <c r="F29" s="4">
        <v>46300</v>
      </c>
      <c r="G29" s="4">
        <v>46316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строительную бригаду с нуля. Отбираем тех, кто уже делал заведения общепита: электрика 380 В, вентиляция, мокрые зоны. Обязательное условие: у бригады есть свой инженер, который делает рабочие схемы сетей с расчётами. Выезжаем на сданные объекты и звоним прошлым клиентам. Результат: Три–четыре проверенные бригады, готовые дать смету.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Команда PECÀN</t>
        </is>
      </c>
      <c r="E30" s="3"/>
      <c r="F30" s="4">
        <v>46317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Бригады считают сметы по нашему зонированию и заданию на инженерные сети. Сравниваем цены, сроки, условия оплаты и гарантии, проверяем, что в сметах нет завышенных объёмов. Результат: Сравнительная таблица смет и рекомендация, какую бригаду брать.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Команда PECÀN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Подписание договора подряда с выбранной бригадой. В договоре: сроки по этому графику, поэтапная оплата, закупка материалов по проектной смете. Результат: Договор подписан, бригада подтверждает выход на объект 2 ноября.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 t="inlineStr">
        <is>
          <t xml:space="preserve">Начало ремонта: бригада заходит на объект с материалами и инструментом. Результат: Работы на объекте начаты в срок.</t>
        </is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Рабочие схемы электрики, воды и вентиляции с расчётами</t>
        </is>
      </c>
      <c r="D33" s="3" t="inlineStr">
        <is>
          <t xml:space="preserve">Строители</t>
        </is>
      </c>
      <c r="E33" s="3" t="inlineStr">
        <is>
          <t xml:space="preserve">Команда PECÀN: проверка</t>
        </is>
      </c>
      <c r="F33" s="4">
        <v>46328</v>
      </c>
      <c r="G33" s="4">
        <v>46332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 t="inlineStr">
        <is>
          <t xml:space="preserve">Инженер бригады по нашему заданию делает рабочие схемы: щит и автоматы, сечения кабелей, трассы труб, диаметры, воздуховоды и подбор вентиляторов. Розетки и свет в зале берёт из дизайн-проекта. Схемы готовы до начала прокладки сетей. Результат: Схемы электрики, водоснабжения, канализации и вентиляции проверены командой PECÀN, по ним уточнена смета.</t>
        </is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Черновые работы и перегородки</t>
        </is>
      </c>
      <c r="D34" s="3" t="inlineStr">
        <is>
          <t xml:space="preserve">Строители</t>
        </is>
      </c>
      <c r="E34" s="3"/>
      <c r="F34" s="4">
        <v>46328</v>
      </c>
      <c r="G34" s="4">
        <v>46346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 t="inlineStr">
        <is>
          <t xml:space="preserve">Разметка помещения по проекту, возведение перегородок, подготовка стен и пола под инженерные сети. Результат: Помещение разделено на зоны по планировке, перегородки стоят.</t>
        </is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Электрика, вода, канализация, трапы, жироуловитель</t>
        </is>
      </c>
      <c r="D35" s="3" t="inlineStr">
        <is>
          <t xml:space="preserve">Строители</t>
        </is>
      </c>
      <c r="E35" s="3"/>
      <c r="F35" s="4">
        <v>46335</v>
      </c>
      <c r="G35" s="4">
        <v>46360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Прокладка электрики с выводом 380 В под печи, водопровода, канализации, установка трапов и жироуловителя. Работы идут по рабочим схемам бригады, которые сделаны по заданию команды PECÀN. Результат: Все выводы сделаны в точках по проекту и проверены до закрытия стен.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Технологический надзор за выводами коммуникаций</t>
        </is>
      </c>
      <c r="D36" s="3" t="inlineStr">
        <is>
          <t xml:space="preserve">Команда PECÀN</t>
        </is>
      </c>
      <c r="E36" s="3"/>
      <c r="F36" s="4">
        <v>46335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 t="inlineStr">
        <is>
          <t xml:space="preserve">Команда PECÀN выезжает на объект и проверяет, что розетки, вода, канализация и вытяжка выведены ровно там, где будет стоять оборудование, и соответствуют заданию. Результат: Акты осмотра подписаны до закрытия стен, переделок после отделки не потребуется.</t>
        </is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Вентиляция и кондиционирование</t>
        </is>
      </c>
      <c r="D37" s="3" t="inlineStr">
        <is>
          <t xml:space="preserve">Строители</t>
        </is>
      </c>
      <c r="E37" s="3"/>
      <c r="F37" s="4">
        <v>46342</v>
      </c>
      <c r="G37" s="4">
        <v>46367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 t="inlineStr">
        <is>
          <t xml:space="preserve">Монтаж вытяжки над пекарней и кухней, приточной вентиляции и кондиционеров в зале. Результат: Вентиляция работает, в зале нет запахов кухни, кондиционеры охлаждают и греют.</t>
        </is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Чистовая отделка</t>
        </is>
      </c>
      <c r="D38" s="3" t="inlineStr">
        <is>
          <t xml:space="preserve">Строители</t>
        </is>
      </c>
      <c r="E38" s="3"/>
      <c r="F38" s="4">
        <v>46363</v>
      </c>
      <c r="G38" s="4">
        <v>46402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 t="inlineStr">
        <is>
          <t xml:space="preserve">Финишная отделка стен, пола и потолка по дизайн-проекту: штукатурка, покраска, плитка, напольное покрытие. Результат: Отделка завершена и принята дизайнером, помещение выглядит как на визуализациях.</t>
        </is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3" t="inlineStr">
        <is>
          <t xml:space="preserve">Свет, сантехника, столярные изделия</t>
        </is>
      </c>
      <c r="D39" s="3" t="inlineStr">
        <is>
          <t xml:space="preserve">Строители</t>
        </is>
      </c>
      <c r="E39" s="3"/>
      <c r="F39" s="4">
        <v>46391</v>
      </c>
      <c r="G39" s="4">
        <v>46409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/>
      <c r="L39" s="5"/>
      <c r="M39" s="10" t="inlineStr">
        <is>
          <t xml:space="preserve">Установка светильников, сантехники, барной стойки и встроенной мебели. Результат: Свет горит, вода течёт, стойка и встроенная мебель стоят на местах.</t>
        </is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17" t="inlineStr">
        <is>
          <t xml:space="preserve">Приёмка строительной готовности</t>
        </is>
      </c>
      <c r="D40" s="3" t="inlineStr">
        <is>
          <t xml:space="preserve">Команда PECÀN</t>
        </is>
      </c>
      <c r="E40" s="3" t="inlineStr">
        <is>
          <t xml:space="preserve">Строители</t>
        </is>
      </c>
      <c r="F40" s="4">
        <v>46412</v>
      </c>
      <c r="G40" s="4">
        <v>46412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 t="inlineStr">
        <is>
          <t xml:space="preserve">да</t>
        </is>
      </c>
      <c r="L40" s="5"/>
      <c r="M40" s="10" t="inlineStr">
        <is>
          <t xml:space="preserve">Совместный обход помещения после ремонта: команда PECÀN, строители, дизайнер. Проверяем качество работ и готовность принять оборудование. Результат: Акт приёмки подписан, замечания устранены, помещение готово к завозу оборудования.</t>
        </is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Строительство и отделка</t>
        </is>
      </c>
      <c r="C41" s="3" t="inlineStr">
        <is>
          <t xml:space="preserve">Генеральная уборка после ремонта</t>
        </is>
      </c>
      <c r="D41" s="3" t="inlineStr">
        <is>
          <t xml:space="preserve">Строители</t>
        </is>
      </c>
      <c r="E41" s="3"/>
      <c r="F41" s="4">
        <v>46412</v>
      </c>
      <c r="G41" s="4">
        <v>46414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/>
      <c r="M41" s="10" t="inlineStr">
        <is>
          <t xml:space="preserve">Профессиональная уборка после строителей: пыль, следы краски, мытьё окон и полов. Результат: Помещение чистое, можно завозить оборудование и мебель.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Спецификации технологического оборудования и инвентаря</t>
        </is>
      </c>
      <c r="D42" s="3" t="inlineStr">
        <is>
          <t xml:space="preserve">Команда PECÀN</t>
        </is>
      </c>
      <c r="E42" s="3"/>
      <c r="F42" s="4">
        <v>46321</v>
      </c>
      <c r="G42" s="4">
        <v>46339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 t="inlineStr">
        <is>
          <t xml:space="preserve">да</t>
        </is>
      </c>
      <c r="M42" s="10" t="inlineStr">
        <is>
          <t xml:space="preserve">Составляем точный список техники и инвентаря по проекту ТХ: печи, расстойка, холод, бар, нейтральное оборудование. Для каждой позиции указываем модель, размеры, мощность и количество. Результат: Спецификация, с которой можно ехать на фабрики и запрашивать цены.</t>
        </is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Подготовка поездки: маршрут фабрик, визы, билеты</t>
        </is>
      </c>
      <c r="D43" s="3" t="inlineStr">
        <is>
          <t xml:space="preserve">Команда PECÀN</t>
        </is>
      </c>
      <c r="E43" s="3"/>
      <c r="F43" s="4">
        <v>46328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/>
      <c r="M43" s="10" t="inlineStr">
        <is>
          <t xml:space="preserve">Готовим поездку: договариваемся с фабриками в Гуанчжоу и Фошане, составляем маршрут по дням, оформляем визы и покупаем билеты. Результат: Маршрут с адресами и временем встреч, визы и билеты на руках.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3" t="inlineStr">
        <is>
          <t xml:space="preserve">Спецификации мебели, света и посуды по дизайн-проекту</t>
        </is>
      </c>
      <c r="D44" s="3" t="inlineStr">
        <is>
          <t xml:space="preserve">Команда PECÀN</t>
        </is>
      </c>
      <c r="E44" s="3" t="inlineStr">
        <is>
          <t xml:space="preserve">Дизайн-студия</t>
        </is>
      </c>
      <c r="F44" s="4">
        <v>46335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/>
      <c r="L44" s="5" t="inlineStr">
        <is>
          <t xml:space="preserve">да</t>
        </is>
      </c>
      <c r="M44" s="10" t="inlineStr">
        <is>
          <t xml:space="preserve">Список мебели, светильников и посуды по ведомостям из дизайн-проекта: размеры, материалы, цвета, количество. Результат: Спецификация, по которой фабрики дают цены и сроки.</t>
        </is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17" t="inlineStr">
        <is>
          <t xml:space="preserve">Спецификации и бюджет закупок утверждены</t>
        </is>
      </c>
      <c r="D45" s="3" t="inlineStr">
        <is>
          <t xml:space="preserve">Команда PECÀN</t>
        </is>
      </c>
      <c r="E45" s="3"/>
      <c r="F45" s="4">
        <v>46346</v>
      </c>
      <c r="G45" s="4">
        <v>46346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 t="inlineStr">
        <is>
          <t xml:space="preserve">да</t>
        </is>
      </c>
      <c r="L45" s="5" t="inlineStr">
        <is>
          <t xml:space="preserve">да</t>
        </is>
      </c>
      <c r="M45" s="10" t="inlineStr">
        <is>
          <t xml:space="preserve">Утверждение списка закупок и суммы, которую готовы на них потратить. Результат: Спецификации и бюджет закупок письменно подтверждены.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Выездная сессия в Китае: Гуанчжоу, Фошань</t>
        </is>
      </c>
      <c r="D46" s="3" t="inlineStr">
        <is>
          <t xml:space="preserve">Команда PECÀN</t>
        </is>
      </c>
      <c r="E46" s="3"/>
      <c r="F46" s="4">
        <v>46349</v>
      </c>
      <c r="G46" s="4">
        <v>46355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 t="inlineStr">
        <is>
          <t xml:space="preserve">Неделя на фабриках и в шоурумах: смотрим оборудование, мебель, свет и посуду вживую, проверяем качество, торгуемся и согласуем сроки изготовления. Результат: По каждой позиции выбран поставщик, согласованы цена и срок готовности.</t>
        </is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Размещение заказов и предоплата фабрикам</t>
        </is>
      </c>
      <c r="D47" s="3" t="inlineStr">
        <is>
          <t xml:space="preserve">Команда PECÀN</t>
        </is>
      </c>
      <c r="E47" s="3"/>
      <c r="F47" s="4">
        <v>46356</v>
      </c>
      <c r="G47" s="4">
        <v>46360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 t="inlineStr">
        <is>
          <t xml:space="preserve">да</t>
        </is>
      </c>
      <c r="M47" s="10" t="inlineStr">
        <is>
          <t xml:space="preserve">Подписываем контракты с фабриками и вносим предоплату. Чем раньше оплата, тем раньше фабрика запускает производство. Результат: Все заказы оплачены, фабрики подтвердили дату готовности.</t>
        </is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Заказ кофемашины у дилера в Казахстане</t>
        </is>
      </c>
      <c r="D48" s="3" t="inlineStr">
        <is>
          <t xml:space="preserve">Команда PECÀN</t>
        </is>
      </c>
      <c r="E48" s="3"/>
      <c r="F48" s="4">
        <v>46356</v>
      </c>
      <c r="G48" s="4">
        <v>46367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/>
      <c r="M48" s="10" t="inlineStr">
        <is>
          <t xml:space="preserve">Выбор и заказ кофемашины у дилера в Казахстане: с гарантией, сервисом и обучением. Результат: Кофемашина оплачена, дилер подтвердил дату поставки и установки.</t>
        </is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Производство на фабриках</t>
        </is>
      </c>
      <c r="D49" s="3" t="inlineStr">
        <is>
          <t xml:space="preserve">Поставщики и логистика</t>
        </is>
      </c>
      <c r="E49" s="3"/>
      <c r="F49" s="4">
        <v>46363</v>
      </c>
      <c r="G49" s="4">
        <v>46395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Фабрики изготавливают заказ. Раз в неделю получаем фото и видео, чтобы видеть ход работ и сроки. Результат: Всё изготовлено к согласованной дате и соответствует образцам.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Контроль качества и отгрузка из Китая</t>
        </is>
      </c>
      <c r="D50" s="3" t="inlineStr">
        <is>
          <t xml:space="preserve">Поставщики и логистика</t>
        </is>
      </c>
      <c r="E50" s="3"/>
      <c r="F50" s="4">
        <v>46391</v>
      </c>
      <c r="G50" s="4">
        <v>46400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 t="inlineStr">
        <is>
          <t xml:space="preserve">Проверяем готовый товар на фабриках перед упаковкой и отправляем. Отгрузка с запасом до закрытия фабрик на Китайский Новый год. Результат: Товар проверен, упакован и передан перевозчику до праздников. Как снижаем риск: Разместить заказы и внести предоплату в первую неделю после поездки, до 4 декабря.; В контракте с фабрикой указать дату готовности 8 января и удержание за просрочку.; Брать позиции из стандартных линеек с коротким сроком. Изготовление на заказ оставить только там, где без него нельзя.; Раз в неделю получать от фабрики фото и видео хода производства.; За неделю до готовности отправить на фабрику инспектора по качеству.</t>
        </is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3" t="inlineStr">
        <is>
          <t xml:space="preserve">Доставка и таможенное оформление</t>
        </is>
      </c>
      <c r="D51" s="3" t="inlineStr">
        <is>
          <t xml:space="preserve">Поставщики и логистика</t>
        </is>
      </c>
      <c r="E51" s="3"/>
      <c r="F51" s="4">
        <v>46400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/>
      <c r="L51" s="5" t="inlineStr">
        <is>
          <t xml:space="preserve">да</t>
        </is>
      </c>
      <c r="M51" s="10" t="inlineStr">
        <is>
          <t xml:space="preserve">Доставка груза из Китая в Астану и таможенное оформление. Везёт наша проверенная транспортная компания. Результат: Груз растаможен и готов к доставке на объект.</t>
        </is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17" t="inlineStr">
        <is>
          <t xml:space="preserve">Оборудование и мебель на объекте</t>
        </is>
      </c>
      <c r="D52" s="3" t="inlineStr">
        <is>
          <t xml:space="preserve">Поставщики и логистика</t>
        </is>
      </c>
      <c r="E52" s="3"/>
      <c r="F52" s="4">
        <v>46416</v>
      </c>
      <c r="G52" s="4">
        <v>46416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 t="inlineStr">
        <is>
          <t xml:space="preserve">да</t>
        </is>
      </c>
      <c r="L52" s="5" t="inlineStr">
        <is>
          <t xml:space="preserve">да</t>
        </is>
      </c>
      <c r="M52" s="10" t="inlineStr">
        <is>
          <t xml:space="preserve">Разгрузка и приёмка: пересчитываем места, проверяем целостность упаковки и комплектность. Результат: Всё заказанное на объекте, повреждений нет либо они зафиксированы актом.</t>
        </is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Монтаж оборудования, пусконаладка</t>
        </is>
      </c>
      <c r="D53" s="3" t="inlineStr">
        <is>
          <t xml:space="preserve">Поставщики и логистика</t>
        </is>
      </c>
      <c r="E53" s="3" t="inlineStr">
        <is>
          <t xml:space="preserve">Команда PECÀN: шеф-контроль</t>
        </is>
      </c>
      <c r="F53" s="4">
        <v>46419</v>
      </c>
      <c r="G53" s="4">
        <v>46425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 t="inlineStr">
        <is>
          <t xml:space="preserve">да</t>
        </is>
      </c>
      <c r="M53" s="10" t="inlineStr">
        <is>
          <t xml:space="preserve">Расстановка оборудования по проекту ТХ, подключение к электрике, воде и вытяжке, пробный запуск каждой единицы. Результат: Вся техника работает, персонал может начинать проработки.</t>
        </is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Комплектация и Китай</t>
        </is>
      </c>
      <c r="C54" s="3" t="inlineStr">
        <is>
          <t xml:space="preserve">Расстановка мебели, свет, декор</t>
        </is>
      </c>
      <c r="D54" s="3" t="inlineStr">
        <is>
          <t xml:space="preserve">Дизайн-студия</t>
        </is>
      </c>
      <c r="E54" s="3"/>
      <c r="F54" s="4">
        <v>46421</v>
      </c>
      <c r="G54" s="4">
        <v>46427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 t="inlineStr">
        <is>
          <t xml:space="preserve">Сборка и расстановка мебели в зале, развеска светильников, декор и растения. Результат: Зал полностью обставлен и выглядит как на визуализациях.</t>
        </is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Штатное расписание, фонд оплаты труда, KPI</t>
        </is>
      </c>
      <c r="D55" s="3" t="inlineStr">
        <is>
          <t xml:space="preserve">Команда PECÀN</t>
        </is>
      </c>
      <c r="E55" s="3"/>
      <c r="F55" s="4">
        <v>46328</v>
      </c>
      <c r="G55" s="4">
        <v>46339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 t="inlineStr">
        <is>
          <t xml:space="preserve">Определяем, сколько человек и на какие должности нужно, какие смены и зарплаты, как считается премия за результат. Результат: Штатное расписание с фондом оплаты труда и понятной системой мотивации.</t>
        </is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Подбор шеф-пекаря и шеф-бариста</t>
        </is>
      </c>
      <c r="D56" s="3" t="inlineStr">
        <is>
          <t xml:space="preserve">Команда PECÀN</t>
        </is>
      </c>
      <c r="E56" s="3"/>
      <c r="F56" s="4">
        <v>46342</v>
      </c>
      <c r="G56" s="4">
        <v>46367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 t="inlineStr">
        <is>
          <t xml:space="preserve">Ищем шефов, которые разработают меню выпечки и кофейную карту PECÀN и обучат команду. Результат: С шеф-пекарем и шеф-бариста заключены договоры на разработку меню.</t>
        </is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Поиск управляющего</t>
        </is>
      </c>
      <c r="D57" s="3" t="inlineStr">
        <is>
          <t xml:space="preserve">Команда PECÀN</t>
        </is>
      </c>
      <c r="E57" s="3"/>
      <c r="F57" s="4">
        <v>46342</v>
      </c>
      <c r="G57" s="4">
        <v>46374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Ищем управляющего кофейней: размещаем вакансию, приглашаем сильных кандидатов из других заведений, проводим собеседования и проверяем рекомендации. Результат: Управляющий выбран и готов выйти на обучение 25 января.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Подбор линейного персонала</t>
        </is>
      </c>
      <c r="D58" s="3" t="inlineStr">
        <is>
          <t xml:space="preserve">Команда PECÀN</t>
        </is>
      </c>
      <c r="E58" s="3"/>
      <c r="F58" s="4">
        <v>46391</v>
      </c>
      <c r="G58" s="4">
        <v>46416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 t="inlineStr">
        <is>
          <t xml:space="preserve">Набор команды: бариста, пекари, повара, кассиры, сотрудники зала и клининг. Вакансии, отбор анкет, собеседования, пробные смены. Результат: На каждую должность есть утверждённый кандидат с проверенными рекомендациями.</t>
        </is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3" t="inlineStr">
        <is>
          <t xml:space="preserve">Оформление сотрудников и медицинские книжки</t>
        </is>
      </c>
      <c r="D59" s="3" t="inlineStr">
        <is>
          <t xml:space="preserve">Команда PECÀN</t>
        </is>
      </c>
      <c r="E59" s="3"/>
      <c r="F59" s="4">
        <v>46412</v>
      </c>
      <c r="G59" s="4">
        <v>46423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/>
      <c r="L59" s="5"/>
      <c r="M59" s="10" t="inlineStr">
        <is>
          <t xml:space="preserve">Официальное оформление сотрудников и прохождение медосмотра с получением медицинских книжек. Результат: Со всеми подписаны договоры, у каждого действующая медкнижка.</t>
        </is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Команда</t>
        </is>
      </c>
      <c r="C60" s="17" t="inlineStr">
        <is>
          <t xml:space="preserve">Штат укомплектован: 10–14 человек</t>
        </is>
      </c>
      <c r="D60" s="3" t="inlineStr">
        <is>
          <t xml:space="preserve">Команда PECÀN</t>
        </is>
      </c>
      <c r="E60" s="3"/>
      <c r="F60" s="4">
        <v>46416</v>
      </c>
      <c r="G60" s="4">
        <v>46416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 t="inlineStr">
        <is>
          <t xml:space="preserve">да</t>
        </is>
      </c>
      <c r="L60" s="5"/>
      <c r="M60" s="10" t="inlineStr">
        <is>
          <t xml:space="preserve">Финальная проверка: все должности закрыты, люди подтвердили выход. Результат: Полный штат из 10–14 человек готов к обучению.</t>
        </is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Концепция меню</t>
        </is>
      </c>
      <c r="D61" s="3" t="inlineStr">
        <is>
          <t xml:space="preserve">Команда PECÀN</t>
        </is>
      </c>
      <c r="E61" s="3" t="inlineStr">
        <is>
          <t xml:space="preserve">Шефы</t>
        </is>
      </c>
      <c r="F61" s="4">
        <v>46335</v>
      </c>
      <c r="G61" s="4">
        <v>46353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 t="inlineStr">
        <is>
          <t xml:space="preserve">Определяем, что будет в меню: категории, количество позиций, фирменные хиты, завтраки, сезонные предложения. Опираемся на ассортиментную матрицу и возможности оборудования. Результат: Утверждённая структура меню, по которой шефы пишут рецептуры.</t>
        </is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Рецептуры и технологические карты</t>
        </is>
      </c>
      <c r="D62" s="3" t="inlineStr">
        <is>
          <t xml:space="preserve">Шефы и персонал</t>
        </is>
      </c>
      <c r="E62" s="3"/>
      <c r="F62" s="4">
        <v>46363</v>
      </c>
      <c r="G62" s="4">
        <v>46409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Шефы разрабатывают рецепты и оформляют технологические карты: состав, граммовки, способ приготовления, себестоимость каждой позиции. Результат: На каждую позицию меню есть техкарта с себестоимостью и фото подачи.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Упаковка, печать меню, форма персонала</t>
        </is>
      </c>
      <c r="D63" s="3" t="inlineStr">
        <is>
          <t xml:space="preserve">Команда PECÀN</t>
        </is>
      </c>
      <c r="E63" s="3"/>
      <c r="F63" s="4">
        <v>46391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 t="inlineStr">
        <is>
          <t xml:space="preserve">Заказ стаканов, пакетов и коробок, печать меню и ценников, пошив формы. Всё по брендбуку, дизайн стаканов и крафтовых пакетов обновляется. Результат: Упаковка, меню и форма на объекте до технического открытия.</t>
        </is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Поставщики сырья: отбор и договоры</t>
        </is>
      </c>
      <c r="D64" s="3" t="inlineStr">
        <is>
          <t xml:space="preserve">Команда PECÀN</t>
        </is>
      </c>
      <c r="E64" s="3"/>
      <c r="F64" s="4">
        <v>46398</v>
      </c>
      <c r="G64" s="4">
        <v>46423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 t="inlineStr">
        <is>
          <t xml:space="preserve">Выбираем поставщиков кофе, молока, муки, масла и остальных продуктов: сравниваем качество, цены и условия доставки, заключаем договоры. Результат: На каждый ключевой продукт есть основной и запасной поставщик с договором.</t>
        </is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Меню и продукт</t>
        </is>
      </c>
      <c r="C65" s="3" t="inlineStr">
        <is>
          <t xml:space="preserve">Проработки и дегустации на объекте</t>
        </is>
      </c>
      <c r="D65" s="3" t="inlineStr">
        <is>
          <t xml:space="preserve">Шефы и персонал</t>
        </is>
      </c>
      <c r="E65" s="3"/>
      <c r="F65" s="4">
        <v>46426</v>
      </c>
      <c r="G65" s="4">
        <v>46431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 t="inlineStr">
        <is>
          <t xml:space="preserve">Шефы готовят всё меню на нашем оборудовании, команда PECÀN пробует и даёт правки по вкусу, подаче и времени приготовления. Результат: Каждая позиция утверждена по вкусу и подаче, время отдачи укладывается в стандарт.</t>
        </is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Закупка касс, принтеров, лицензий iiko</t>
        </is>
      </c>
      <c r="D66" s="3" t="inlineStr">
        <is>
          <t xml:space="preserve">Команда PECÀN</t>
        </is>
      </c>
      <c r="E66" s="3"/>
      <c r="F66" s="4">
        <v>46398</v>
      </c>
      <c r="G66" s="4">
        <v>46409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 t="inlineStr">
        <is>
          <t xml:space="preserve">Покупка кассовых моноблоков, принтеров чеков и лицензий iiko. Результат: Оборудование и лицензии на руках, можно начинать настройку.</t>
        </is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Настройка iiko: номенклатура, склады, техкарты</t>
        </is>
      </c>
      <c r="D67" s="3" t="inlineStr">
        <is>
          <t xml:space="preserve">Команда PECÀN</t>
        </is>
      </c>
      <c r="E67" s="3"/>
      <c r="F67" s="4">
        <v>46412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 t="inlineStr">
        <is>
          <t xml:space="preserve">Настраиваем систему учёта: заносим меню, склады, техкарты шефов и правила списания продуктов. Результат: Каждая продажа автоматически списывает продукты со склада, остатки видны в системе.</t>
        </is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Бонусная программа лояльности</t>
        </is>
      </c>
      <c r="D68" s="3" t="inlineStr">
        <is>
          <t xml:space="preserve">Команда PECÀN</t>
        </is>
      </c>
      <c r="E68" s="3"/>
      <c r="F68" s="4">
        <v>46419</v>
      </c>
      <c r="G68" s="4">
        <v>46430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 t="inlineStr">
        <is>
          <t xml:space="preserve">Настраиваем бонусную программу для гостей и связываем её с кассой, обучаем кассиров. Результат: Гость регистрируется за минуту, бонусы начисляются и списываются на кассе.</t>
        </is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Kaspi Pay, Webkassa, кассовая зона</t>
        </is>
      </c>
      <c r="D69" s="3" t="inlineStr">
        <is>
          <t xml:space="preserve">Команда PECÀN</t>
        </is>
      </c>
      <c r="E69" s="3"/>
      <c r="F69" s="4">
        <v>46419</v>
      </c>
      <c r="G69" s="4">
        <v>46430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 t="inlineStr">
        <is>
          <t xml:space="preserve">Подключаем оплату через Kaspi и картой, онлайн-кассу Webkassa, принтеры на баре и кухне. Результат: Тестовая продажа проходит целиком: заказ, оплата, чек, заказ на кухне.</t>
        </is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Дашборд для владельцев</t>
        </is>
      </c>
      <c r="D70" s="3" t="inlineStr">
        <is>
          <t xml:space="preserve">Команда PECÀN</t>
        </is>
      </c>
      <c r="E70" s="3"/>
      <c r="F70" s="4">
        <v>46426</v>
      </c>
      <c r="G70" s="4">
        <v>46437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Настраиваем отчёты, которые владельцы видят с телефона: выручка, средний чек, количество гостей, остатки. Результат: Вы открываете приложение и видите выручку за сегодня в реальном времени.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Автоматизация и IT</t>
        </is>
      </c>
      <c r="C71" s="3" t="inlineStr">
        <is>
          <t xml:space="preserve">Заявки в Wolt, Yandex Eats, Glovo, Choco</t>
        </is>
      </c>
      <c r="D71" s="3" t="inlineStr">
        <is>
          <t xml:space="preserve">Команда PECÀN</t>
        </is>
      </c>
      <c r="E71" s="3"/>
      <c r="F71" s="4">
        <v>46426</v>
      </c>
      <c r="G71" s="4">
        <v>46444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 t="inlineStr">
        <is>
          <t xml:space="preserve">Готовим меню доставки и подаём заявки на подключение. Решение о подключении принимают сами сервисы. Результат: Заявки поданы во все четыре сервиса, меню и фото готовы.</t>
        </is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Стандарты и обучение</t>
        </is>
      </c>
      <c r="C72" s="3" t="inlineStr">
        <is>
          <t xml:space="preserve">Service Book, должностные инструкции, чек-листы, ХАССП</t>
        </is>
      </c>
      <c r="D72" s="3" t="inlineStr">
        <is>
          <t xml:space="preserve">Команда PECÀN</t>
        </is>
      </c>
      <c r="E72" s="3"/>
      <c r="F72" s="4">
        <v>46342</v>
      </c>
      <c r="G72" s="4">
        <v>46374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 t="inlineStr">
        <is>
          <t xml:space="preserve">Пишем правила работы кофейни: как встречать гостя и готовить заказ, кто за что отвечает, что делать при открытии и закрытии смены, как соблюдать санитарные нормы. Результат: Комплект документов, по которым новый сотрудник понимает свою работу с первого дня.</t>
        </is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Обучение управляющего</t>
        </is>
      </c>
      <c r="D73" s="3" t="inlineStr">
        <is>
          <t xml:space="preserve">Команда PECÀN</t>
        </is>
      </c>
      <c r="E73" s="3"/>
      <c r="F73" s="4">
        <v>46412</v>
      </c>
      <c r="G73" s="4">
        <v>46423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 t="inlineStr">
        <is>
          <t xml:space="preserve">Учим управляющего вести кофейню: графики смен, заказ продуктов, себестоимость, инвентаризация, работа с отзывами и жалобами. Результат: Управляющий самостоятельно составляет график, делает заказ поставщикам и читает отчёты.</t>
        </is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Договоры ЖКХ, вывоз отходов, уведомление о начале деятельности</t>
        </is>
      </c>
      <c r="D74" s="3" t="inlineStr">
        <is>
          <t xml:space="preserve">Команда PECÀN</t>
        </is>
      </c>
      <c r="E74" s="3"/>
      <c r="F74" s="4">
        <v>46412</v>
      </c>
      <c r="G74" s="4">
        <v>46430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/>
      <c r="M74" s="10" t="inlineStr">
        <is>
          <t xml:space="preserve">Договоры на электричество, воду, вывоз мусора и дезинсекцию, уведомление о начале деятельности. Результат: Все договоры подписаны, уведомление подано, можно легально работать.</t>
        </is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3" t="inlineStr">
        <is>
          <t xml:space="preserve">Академия PECÀN: бариста, пекарня, кухня, сервис</t>
        </is>
      </c>
      <c r="D75" s="3" t="inlineStr">
        <is>
          <t xml:space="preserve">Команда PECÀN</t>
        </is>
      </c>
      <c r="E75" s="3" t="inlineStr">
        <is>
          <t xml:space="preserve">Персонал кофейни</t>
        </is>
      </c>
      <c r="F75" s="4">
        <v>46426</v>
      </c>
      <c r="G75" s="4">
        <v>46431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/>
      <c r="L75" s="5" t="inlineStr">
        <is>
          <t xml:space="preserve">да</t>
        </is>
      </c>
      <c r="M75" s="10" t="inlineStr">
        <is>
          <t xml:space="preserve">Неделя обучения всей команды: бариста тренируют кофе и скорость, пекари и повара работают по техкартам, зал и касса учат меню и стандарты общения с гостем. Результат: Каждый сотрудник знает меню и свои действия на смене, готов к аттестации.</t>
        </is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Стандарты и обучение</t>
        </is>
      </c>
      <c r="C76" s="17" t="inlineStr">
        <is>
          <t xml:space="preserve">Аттестация команды</t>
        </is>
      </c>
      <c r="D76" s="3" t="inlineStr">
        <is>
          <t xml:space="preserve">Команда PECÀN</t>
        </is>
      </c>
      <c r="E76" s="3"/>
      <c r="F76" s="4">
        <v>46431</v>
      </c>
      <c r="G76" s="4">
        <v>46431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 t="inlineStr">
        <is>
          <t xml:space="preserve">да</t>
        </is>
      </c>
      <c r="L76" s="5" t="inlineStr">
        <is>
          <t xml:space="preserve">да</t>
        </is>
      </c>
      <c r="M76" s="10" t="inlineStr">
        <is>
          <t xml:space="preserve">Экзамен для каждого сотрудника: теория по меню и стандартам плюс практика на рабочем месте. Результат: К смене допущены только те, кто сдал аттестацию.</t>
        </is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Маркетинг запуска</t>
        </is>
      </c>
      <c r="C77" s="3" t="inlineStr">
        <is>
          <t xml:space="preserve">Медиаплан запуска</t>
        </is>
      </c>
      <c r="D77" s="3" t="inlineStr">
        <is>
          <t xml:space="preserve">Команда PECÀN</t>
        </is>
      </c>
      <c r="E77" s="3"/>
      <c r="F77" s="4">
        <v>46321</v>
      </c>
      <c r="G77" s="4">
        <v>46339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/>
      <c r="L77" s="5"/>
      <c r="M77" s="10" t="inlineStr">
        <is>
          <t xml:space="preserve">План продвижения: что, где и когда публикуем до и после открытия, какие активности проводим, какой бюджет на рекламу нужен. Результат: Календарь публикаций и активностей с бюджетом по неделям.</t>
        </is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Instagram: прогрев до открытия</t>
        </is>
      </c>
      <c r="D78" s="3" t="inlineStr">
        <is>
          <t xml:space="preserve">Команда PECÀN</t>
        </is>
      </c>
      <c r="E78" s="3"/>
      <c r="F78" s="4">
        <v>46391</v>
      </c>
      <c r="G78" s="4">
        <v>46459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 t="inlineStr">
        <is>
          <t xml:space="preserve">Ведём аккаунт до открытия: показываем ремонт, команду, пробы меню, собираем аудиторию района. Результат: К открытию у аккаунта есть живые подписчики из района, которые ждут запуска.</t>
        </is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Карточки в 2ГИС, Яндекс и Google</t>
        </is>
      </c>
      <c r="D79" s="3" t="inlineStr">
        <is>
          <t xml:space="preserve">Команда PECÀN</t>
        </is>
      </c>
      <c r="E79" s="3"/>
      <c r="F79" s="4">
        <v>46419</v>
      </c>
      <c r="G79" s="4">
        <v>46430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 t="inlineStr">
        <is>
          <t xml:space="preserve">Создаём и оформляем карточки заведения на картах: адрес, часы работы, фото, меню. Результат: PECÀN находится в поиске на картах, информация и фото актуальны.</t>
        </is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Маркетинг запуска</t>
        </is>
      </c>
      <c r="C80" s="3" t="inlineStr">
        <is>
          <t xml:space="preserve">Подготовка торжественного открытия</t>
        </is>
      </c>
      <c r="D80" s="3" t="inlineStr">
        <is>
          <t xml:space="preserve">Команда PECÀN</t>
        </is>
      </c>
      <c r="E80" s="3"/>
      <c r="F80" s="4">
        <v>46433</v>
      </c>
      <c r="G80" s="4">
        <v>46458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 t="inlineStr">
        <is>
          <t xml:space="preserve">Готовим торжественное открытие: программа дня, приглашения блогерам и гостям, подарки, фото и видеосъёмка. Результат: Сценарий утверждён, гости приглашены, всё закуплено за день до события.</t>
        </is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Запуск</t>
        </is>
      </c>
      <c r="C81" s="3" t="inlineStr">
        <is>
          <t xml:space="preserve">Первый закуп продуктов и расходников</t>
        </is>
      </c>
      <c r="D81" s="3" t="inlineStr">
        <is>
          <t xml:space="preserve">Команда PECÀN</t>
        </is>
      </c>
      <c r="E81" s="3"/>
      <c r="F81" s="4">
        <v>46428</v>
      </c>
      <c r="G81" s="4">
        <v>46432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/>
      <c r="L81" s="5"/>
      <c r="M81" s="10" t="inlineStr">
        <is>
          <t xml:space="preserve">Первая закупка продуктов, кофе, молока, упаковки и расходников под стартовое меню. Результат: Склад заполнен на первую неделю работы.</t>
        </is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Запуск</t>
        </is>
      </c>
      <c r="C82" s="17" t="inlineStr">
        <is>
          <t xml:space="preserve">Техническое открытие</t>
        </is>
      </c>
      <c r="D82" s="3" t="inlineStr">
        <is>
          <t xml:space="preserve">Команда PECÀN</t>
        </is>
      </c>
      <c r="E82" s="3" t="inlineStr">
        <is>
          <t xml:space="preserve">Все участники</t>
        </is>
      </c>
      <c r="F82" s="4">
        <v>46433</v>
      </c>
      <c r="G82" s="4">
        <v>46433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 t="inlineStr">
        <is>
          <t xml:space="preserve">да</t>
        </is>
      </c>
      <c r="L82" s="5" t="inlineStr">
        <is>
          <t xml:space="preserve">да</t>
        </is>
      </c>
      <c r="M82" s="10" t="inlineStr">
        <is>
          <t xml:space="preserve">Первый рабочий день без рекламы и вывески о запуске. Принимаем первых гостей и проверяем все процессы в реальной работе. Результат: Кофейня открыла двери и отработала полную смену.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Тестовая эксплуатация, 10 дней</t>
        </is>
      </c>
      <c r="D83" s="3" t="inlineStr">
        <is>
          <t xml:space="preserve">Команда PECÀN</t>
        </is>
      </c>
      <c r="E83" s="3" t="inlineStr">
        <is>
          <t xml:space="preserve">Персонал кофейни</t>
        </is>
      </c>
      <c r="F83" s="4">
        <v>46433</v>
      </c>
      <c r="G83" s="4">
        <v>46442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 t="inlineStr">
        <is>
          <t xml:space="preserve">да</t>
        </is>
      </c>
      <c r="M83" s="10" t="inlineStr">
        <is>
          <t xml:space="preserve">Десять дней работаем в тихом режиме: закрытая фокус-группа, друзья и соседи. Замеряем скорость отдачи, собираем отзывы, находим узкие места. Результат: Список проблем найден и устранён, заказ отдаётся за стандартное время даже в пик.</t>
        </is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3" t="inlineStr">
        <is>
          <t xml:space="preserve">Работа в мягком режиме, доводка процессов</t>
        </is>
      </c>
      <c r="D84" s="3" t="inlineStr">
        <is>
          <t xml:space="preserve">Шефы и персонал</t>
        </is>
      </c>
      <c r="E84" s="3"/>
      <c r="F84" s="4">
        <v>46443</v>
      </c>
      <c r="G84" s="4">
        <v>46458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/>
      <c r="L84" s="5"/>
      <c r="M84" s="10" t="inlineStr">
        <is>
          <t xml:space="preserve">Работаем для всех, но без громкой рекламы. Команда набирает скорость, докручиваем меню и процессы по отзывам гостей. Результат: Команда уверенно проходит пиковые часы, отзывы на картах положительные.</t>
        </is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17" t="inlineStr">
        <is>
          <t xml:space="preserve">Торжественное открытие</t>
        </is>
      </c>
      <c r="D85" s="3" t="inlineStr">
        <is>
          <t xml:space="preserve">Команда PECÀN</t>
        </is>
      </c>
      <c r="E85" s="3" t="inlineStr">
        <is>
          <t xml:space="preserve">Все участники</t>
        </is>
      </c>
      <c r="F85" s="4">
        <v>46459</v>
      </c>
      <c r="G85" s="4">
        <v>46459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 t="inlineStr">
        <is>
          <t xml:space="preserve">да</t>
        </is>
      </c>
      <c r="L85" s="5" t="inlineStr">
        <is>
          <t xml:space="preserve">да</t>
        </is>
      </c>
      <c r="M85" s="10" t="inlineStr">
        <is>
          <t xml:space="preserve">Официальное открытие PECÀN с гостями, блогерами и праздничной программой. Результат: Праздник прошёл, о PECÀN узнал район, первые публикации вышли.</t>
        </is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>
      <c r="A86" s="5">
        <v>82</v>
      </c>
      <c r="B86" s="3" t="inlineStr">
        <is>
          <t xml:space="preserve">Запуск</t>
        </is>
      </c>
      <c r="C86" s="3" t="inlineStr">
        <is>
          <t xml:space="preserve">Итоговый аудит и акт, передача кофейни владельцам</t>
        </is>
      </c>
      <c r="D86" s="3" t="inlineStr">
        <is>
          <t xml:space="preserve">Команда PECÀN</t>
        </is>
      </c>
      <c r="E86" s="3"/>
      <c r="F86" s="4">
        <v>46461</v>
      </c>
      <c r="G86" s="4">
        <v>46465</v>
      </c>
      <c r="H86" s="5">
        <f>G86-F86+1</f>
      </c>
      <c r="I86" s="6">
        <v>0</v>
      </c>
      <c r="J86" s="5" t="str">
        <f>IF(I86&gt;=1,"Готово",IF(G86&lt;TODAY(),"Просрочено",IF(F86&lt;=TODAY(),"В работе","В плане")))</f>
      </c>
      <c r="K86" s="5"/>
      <c r="L86" s="5"/>
      <c r="M86" s="10" t="inlineStr">
        <is>
          <t xml:space="preserve">Проверяем работу кофейни после открытия, передаём все документы, доступы и контакты, подписываем итоговый акт. Результат: Кофейня работает самостоятельно, у владельцев есть все документы и доступы.</t>
        </is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</sheetData>
  <autoFilter ref="A4:M86"/>
  <conditionalFormatting sqref="N5:AN86">
    <cfRule type="expression" dxfId="0" priority="1">
      <formula>AND($D5="Команда PECÀN",$F5&lt;=N$4+6,$G5&gt;=N$4)</formula>
    </cfRule>
    <cfRule type="expression" dxfId="1" priority="2">
      <formula>AND($D5="",$F5&lt;=N$4+6,$G5&gt;=N$4)</formula>
    </cfRule>
    <cfRule type="expression" dxfId="2" priority="3">
      <formula>AND($D5="Дизайн-студия",$F5&lt;=N$4+6,$G5&gt;=N$4)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персонал",$F5&lt;=N$4+6,$G5&gt;=N$4)</formula>
    </cfRule>
  </conditionalFormatting>
  <conditionalFormatting sqref="J5:J86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6">
      <formula1>"Команда PECÀN,Дизайн-студия,Строители,Поставщики и логистика,Шефы и персонал"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Команда PECÀN</t>
        </is>
      </c>
      <c r="D5" s="5"/>
      <c r="E5" s="5"/>
      <c r="F5" s="5">
        <f>A5-TODAY()</f>
      </c>
      <c r="G5" s="10" t="inlineStr">
        <is>
          <t xml:space="preserve">Подписание договора на сопровождение открытия кофейни-пекарни. С этой даты идёт отсчёт всех работ.</t>
        </is>
      </c>
    </row>
    <row r="6">
      <c r="A6" s="4">
        <v>46309</v>
      </c>
      <c r="B6" s="3" t="inlineStr">
        <is>
          <t xml:space="preserve">Зонирование согласовано</t>
        </is>
      </c>
      <c r="C6" s="3" t="inlineStr">
        <is>
          <t xml:space="preserve">Команда PECÀN</t>
        </is>
      </c>
      <c r="D6" s="5"/>
      <c r="E6" s="5" t="inlineStr">
        <is>
          <t xml:space="preserve">да</t>
        </is>
      </c>
      <c r="F6" s="5">
        <f>A6-TODAY()</f>
      </c>
      <c r="G6" s="10" t="inlineStr">
        <is>
          <t xml:space="preserve">Выбор одного варианта планировки из предложенных. От него зависят проект ТХ, дизайн и работа строителей.</t>
        </is>
      </c>
    </row>
    <row r="7">
      <c r="A7" s="4">
        <v>46311</v>
      </c>
      <c r="B7" s="3" t="inlineStr">
        <is>
          <t xml:space="preserve">Договор с дизайн-студией подписан</t>
        </is>
      </c>
      <c r="C7" s="3" t="inlineStr">
        <is>
          <t xml:space="preserve">Команда PECÀN</t>
        </is>
      </c>
      <c r="D7" s="5"/>
      <c r="E7" s="5" t="inlineStr">
        <is>
          <t xml:space="preserve">да</t>
        </is>
      </c>
      <c r="F7" s="5">
        <f>A7-TODAY()</f>
      </c>
      <c r="G7" s="10" t="inlineStr">
        <is>
          <t xml:space="preserve">Выбор студии и подписание договора на дизайн-проект и авторский надзор. В договоре фиксируются три даты сдачи.</t>
        </is>
      </c>
    </row>
    <row r="8">
      <c r="A8" s="4">
        <v>46315</v>
      </c>
      <c r="B8" s="3" t="inlineStr">
        <is>
          <t xml:space="preserve">Защита финмодели и бюджета</t>
        </is>
      </c>
      <c r="C8" s="3" t="inlineStr">
        <is>
          <t xml:space="preserve">Команда PECÀN</t>
        </is>
      </c>
      <c r="D8" s="5"/>
      <c r="E8" s="5"/>
      <c r="F8" s="5">
        <f>A8-TODAY()</f>
      </c>
      <c r="G8" s="10" t="inlineStr">
        <is>
          <t xml:space="preserve">Встреча, на которой проходим финансовую модель и бюджет открытия: откуда каждая цифра и где можно сэкономить.</t>
        </is>
      </c>
    </row>
    <row r="9">
      <c r="A9" s="4">
        <v>46325</v>
      </c>
      <c r="B9" s="3" t="inlineStr">
        <is>
          <t xml:space="preserve">Договор подряда подписан</t>
        </is>
      </c>
      <c r="C9" s="3" t="inlineStr">
        <is>
          <t xml:space="preserve">Команда PECÀN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Подписание договора подряда с выбранной бригадой. В договоре: сроки по этому графику, поэтапная оплата, закупка материалов по проектной смете.</t>
        </is>
      </c>
    </row>
    <row r="10">
      <c r="A10" s="4">
        <v>46328</v>
      </c>
      <c r="B10" s="3" t="inlineStr">
        <is>
          <t xml:space="preserve">Раздел ТХ и задание на инженерные сети сданы</t>
        </is>
      </c>
      <c r="C10" s="3" t="inlineStr">
        <is>
          <t xml:space="preserve">Команда PECÀN</t>
        </is>
      </c>
      <c r="D10" s="5"/>
      <c r="E10" s="5"/>
      <c r="F10" s="5">
        <f>A10-TODAY()</f>
      </c>
      <c r="G10" s="10" t="inlineStr">
        <is>
          <t xml:space="preserve">Передача готового раздела ТХ и задания на инженерные сети. С этого момента строители могут выходить на объект и делать рабочие схемы.</t>
        </is>
      </c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 t="inlineStr">
        <is>
          <t xml:space="preserve">Начало ремонта: бригада заходит на объект с материалами и инструментом.</t>
        </is>
      </c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Команда PECÀN</t>
        </is>
      </c>
      <c r="D12" s="5"/>
      <c r="E12" s="5" t="inlineStr">
        <is>
          <t xml:space="preserve">да</t>
        </is>
      </c>
      <c r="F12" s="5">
        <f>A12-TODAY()</f>
      </c>
      <c r="G12" s="10" t="inlineStr">
        <is>
          <t xml:space="preserve">Утверждение списка закупок и суммы, которую готовы на них потратить.</t>
        </is>
      </c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Дизайн-студия</t>
        </is>
      </c>
      <c r="D13" s="5"/>
      <c r="E13" s="5" t="inlineStr">
        <is>
          <t xml:space="preserve">да</t>
        </is>
      </c>
      <c r="F13" s="5">
        <f>A13-TODAY()</f>
      </c>
      <c r="G13" s="10" t="inlineStr">
        <is>
          <t xml:space="preserve">Сдача всего дизайн-проекта. Он должен быть готов до поездки в Китай, потому что по нему закупаются мебель и свет.</t>
        </is>
      </c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Команда PECÀN</t>
        </is>
      </c>
      <c r="D14" s="5"/>
      <c r="E14" s="5"/>
      <c r="F14" s="5">
        <f>A14-TODAY()</f>
      </c>
      <c r="G14" s="10" t="inlineStr">
        <is>
          <t xml:space="preserve">Совместный обход помещения после ремонта: команда PECÀN, строители, дизайнер. Проверяем качество работ и готовность принять оборудование.</t>
        </is>
      </c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Команда PECÀN</t>
        </is>
      </c>
      <c r="D15" s="5"/>
      <c r="E15" s="5"/>
      <c r="F15" s="5">
        <f>A15-TODAY()</f>
      </c>
      <c r="G15" s="10" t="inlineStr">
        <is>
          <t xml:space="preserve">Финальная проверка: все должности закрыты, люди подтвердили выход.</t>
        </is>
      </c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 t="inlineStr">
        <is>
          <t xml:space="preserve">Разгрузка и приёмка: пересчитываем места, проверяем целостность упаковки и комплектность.</t>
        </is>
      </c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Дизайн-студия</t>
        </is>
      </c>
      <c r="D17" s="5"/>
      <c r="E17" s="5"/>
      <c r="F17" s="5">
        <f>A17-TODAY()</f>
      </c>
      <c r="G17" s="10" t="inlineStr">
        <is>
          <t xml:space="preserve">Финальный обход помещения с дизайнером после расстановки мебели и декора.</t>
        </is>
      </c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Команда PECÀN</t>
        </is>
      </c>
      <c r="D18" s="5"/>
      <c r="E18" s="5" t="inlineStr">
        <is>
          <t xml:space="preserve">да</t>
        </is>
      </c>
      <c r="F18" s="5">
        <f>A18-TODAY()</f>
      </c>
      <c r="G18" s="10" t="inlineStr">
        <is>
          <t xml:space="preserve">Экзамен для каждого сотрудника: теория по меню и стандартам плюс практика на рабочем месте.</t>
        </is>
      </c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Команда PECÀN</t>
        </is>
      </c>
      <c r="D19" s="5"/>
      <c r="E19" s="5" t="inlineStr">
        <is>
          <t xml:space="preserve">да</t>
        </is>
      </c>
      <c r="F19" s="5">
        <f>A19-TODAY()</f>
      </c>
      <c r="G19" s="10" t="inlineStr">
        <is>
          <t xml:space="preserve">Первый рабочий день без рекламы и вывески о запуске. Принимаем первых гостей и проверяем все процессы в реальной работе.</t>
        </is>
      </c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Команда PECÀN</t>
        </is>
      </c>
      <c r="D20" s="5"/>
      <c r="E20" s="5" t="inlineStr">
        <is>
          <t xml:space="preserve">да</t>
        </is>
      </c>
      <c r="F20" s="5">
        <f>A20-TODAY()</f>
      </c>
      <c r="G20" s="10" t="inlineStr">
        <is>
          <t xml:space="preserve">Официальное открытие PECÀN с гостями, блогерами и праздничной программой.</t>
        </is>
      </c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Материалы согласуются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34" customHeight="1">
      <c r="A5" s="11" t="inlineStr">
        <is>
          <t xml:space="preserve">Команда PECÀN</t>
        </is>
      </c>
      <c r="B5" s="3" t="inlineStr">
        <is>
          <t xml:space="preserve">Основатели и Gastro Ultima</t>
        </is>
      </c>
      <c r="C5" s="5">
        <f>COUNTIF('График'!D:D,A5)</f>
      </c>
      <c r="D5" s="3" t="inlineStr">
        <is>
          <t xml:space="preserve">• Ведёт проект целиком: график, решения, согласования, бюджет
• Аналитика локации, финансовая модель, маркетинговая стратегия
• Технологический проект, задание на инженерные сети, технологический надзор
• Выбор дизайн-студии и строительной бригады, договоры с подрядчиками
• Спецификации, выездная сессия в Китае, оплата оборудования и логистики
• Юрлицо, счёт, договоры с ЖКХ и поставщиками сырья
• Подбор команды, обучение, аттестация
• iiko, лояльность, стандарты, ХАССП, запуск и открытие</t>
        </is>
      </c>
    </row>
    <row r="6" ht="86" customHeight="1">
      <c r="A6" s="13" t="inlineStr">
        <is>
          <t xml:space="preserve">Дизайн-студия</t>
        </is>
      </c>
      <c r="B6" s="3" t="inlineStr">
        <is>
          <t xml:space="preserve">Новый подрядчик · выбираем до 16 октября</t>
        </is>
      </c>
      <c r="C6" s="5">
        <f>COUNTIF('График'!D:D,A6)</f>
      </c>
      <c r="D6" s="3" t="inlineStr">
        <is>
          <t xml:space="preserve">• Планировочное решение и концепция интерьера
• 3D-визуализации, сверка с технологическим зонированием
• Рабочие чертежи, план освещения и розеток, ведомости, смета
• Авторский надзор за отделкой и декором
• Эскиз фасадной вывески</t>
        </is>
      </c>
    </row>
    <row r="7" ht="102" customHeight="1">
      <c r="A7" s="14" t="inlineStr">
        <is>
          <t xml:space="preserve">Строители</t>
        </is>
      </c>
      <c r="B7" s="3" t="inlineStr">
        <is>
          <t xml:space="preserve">Новая бригада · выбираем до 30 октября</t>
        </is>
      </c>
      <c r="C7" s="5">
        <f>COUNTIF('График'!D:D,A7)</f>
      </c>
      <c r="D7" s="3" t="inlineStr">
        <is>
          <t xml:space="preserve">• Черновые работы и перегородки по проекту
• Рабочие схемы сетей с расчётами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8" ht="70" customHeight="1">
      <c r="A8" s="15" t="inlineStr">
        <is>
          <t xml:space="preserve">Поставщики и логистика</t>
        </is>
      </c>
      <c r="B8" s="3" t="inlineStr">
        <is>
          <t xml:space="preserve">Фабрики КНР, дилер кофемашины, карго, таможня</t>
        </is>
      </c>
      <c r="C8" s="5">
        <f>COUNTIF('График'!D:D,A8)</f>
      </c>
      <c r="D8" s="3" t="inlineStr">
        <is>
          <t xml:space="preserve">• Производство оборудования, мебели, света, посуды
• Поставка кофемашины от дилера в Казахстане
• Отгрузка до Китайского Нового года
• Доставка, таможенное оформление, разгрузка на объекте</t>
        </is>
      </c>
    </row>
    <row r="9" ht="70" customHeight="1">
      <c r="A9" s="16" t="inlineStr">
        <is>
          <t xml:space="preserve">Шефы и персонал</t>
        </is>
      </c>
      <c r="B9" s="3" t="inlineStr">
        <is>
          <t xml:space="preserve">Шеф-пекарь, шеф-бариста, управляющий, линейный персонал</t>
        </is>
      </c>
      <c r="C9" s="5">
        <f>COUNTIF('График'!D:D,A9)</f>
      </c>
      <c r="D9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